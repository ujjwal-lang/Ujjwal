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jjwa\Downloads\spyne_study\"/>
    </mc:Choice>
  </mc:AlternateContent>
  <xr:revisionPtr revIDLastSave="0" documentId="13_ncr:1_{59688538-AF19-4F1B-A7EC-D18B6790D83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ealer Profile" sheetId="1" r:id="rId1"/>
    <sheet name="Segment Mix" sheetId="2" r:id="rId2"/>
    <sheet name="Candidate Vehicles" sheetId="3" r:id="rId3"/>
    <sheet name="Decision Logic" sheetId="4" r:id="rId4"/>
    <sheet name="Historical Sample" sheetId="5" r:id="rId5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3" i="3" l="1"/>
  <c r="U23" i="3" s="1"/>
  <c r="T22" i="3"/>
  <c r="U22" i="3" s="1"/>
  <c r="T21" i="3"/>
  <c r="U21" i="3" s="1"/>
  <c r="T20" i="3"/>
  <c r="U20" i="3" s="1"/>
  <c r="U19" i="3"/>
  <c r="Y19" i="3" s="1"/>
  <c r="T19" i="3"/>
  <c r="T18" i="3"/>
  <c r="U18" i="3" s="1"/>
  <c r="T17" i="3"/>
  <c r="U17" i="3" s="1"/>
  <c r="T16" i="3"/>
  <c r="U16" i="3" s="1"/>
  <c r="T15" i="3"/>
  <c r="U15" i="3" s="1"/>
  <c r="Z14" i="3"/>
  <c r="AA14" i="3" s="1"/>
  <c r="Y14" i="3"/>
  <c r="U14" i="3"/>
  <c r="T14" i="3"/>
  <c r="T13" i="3"/>
  <c r="U13" i="3" s="1"/>
  <c r="T12" i="3"/>
  <c r="U12" i="3" s="1"/>
  <c r="T11" i="3"/>
  <c r="U11" i="3" s="1"/>
  <c r="T10" i="3"/>
  <c r="U10" i="3" s="1"/>
  <c r="T9" i="3"/>
  <c r="U9" i="3" s="1"/>
  <c r="T8" i="3"/>
  <c r="U8" i="3" s="1"/>
  <c r="U7" i="3"/>
  <c r="Z7" i="3" s="1"/>
  <c r="AA7" i="3" s="1"/>
  <c r="T7" i="3"/>
  <c r="T6" i="3"/>
  <c r="U6" i="3" s="1"/>
  <c r="T5" i="3"/>
  <c r="U5" i="3" s="1"/>
  <c r="T4" i="3"/>
  <c r="U4" i="3" s="1"/>
  <c r="D10" i="2"/>
  <c r="D9" i="2"/>
  <c r="D8" i="2"/>
  <c r="D7" i="2"/>
  <c r="D6" i="2"/>
  <c r="D5" i="2"/>
  <c r="D4" i="2"/>
  <c r="Z5" i="3" l="1"/>
  <c r="AA5" i="3" s="1"/>
  <c r="Y5" i="3"/>
  <c r="Z15" i="3"/>
  <c r="AA15" i="3" s="1"/>
  <c r="Y15" i="3"/>
  <c r="Z16" i="3"/>
  <c r="AA16" i="3" s="1"/>
  <c r="Y16" i="3"/>
  <c r="Z17" i="3"/>
  <c r="AA17" i="3" s="1"/>
  <c r="Y17" i="3"/>
  <c r="Y9" i="3"/>
  <c r="Z9" i="3"/>
  <c r="AA9" i="3" s="1"/>
  <c r="Y11" i="3"/>
  <c r="Z11" i="3"/>
  <c r="AA11" i="3" s="1"/>
  <c r="Z12" i="3"/>
  <c r="AA12" i="3" s="1"/>
  <c r="Y12" i="3"/>
  <c r="Y20" i="3"/>
  <c r="Z20" i="3"/>
  <c r="AA20" i="3" s="1"/>
  <c r="Z18" i="3"/>
  <c r="AA18" i="3" s="1"/>
  <c r="Y18" i="3"/>
  <c r="Z13" i="3"/>
  <c r="AA13" i="3" s="1"/>
  <c r="Y13" i="3"/>
  <c r="Z22" i="3"/>
  <c r="AA22" i="3" s="1"/>
  <c r="Y22" i="3"/>
  <c r="Y6" i="3"/>
  <c r="Z6" i="3"/>
  <c r="AA6" i="3" s="1"/>
  <c r="Z8" i="3"/>
  <c r="AA8" i="3" s="1"/>
  <c r="Y8" i="3"/>
  <c r="Z10" i="3"/>
  <c r="AA10" i="3" s="1"/>
  <c r="Y10" i="3"/>
  <c r="Y21" i="3"/>
  <c r="Z21" i="3"/>
  <c r="AA21" i="3" s="1"/>
  <c r="Z4" i="3"/>
  <c r="AA4" i="3" s="1"/>
  <c r="Y4" i="3"/>
  <c r="Y23" i="3"/>
  <c r="Z23" i="3"/>
  <c r="AA23" i="3" s="1"/>
  <c r="Z19" i="3"/>
  <c r="AA19" i="3" s="1"/>
  <c r="Y7" i="3"/>
</calcChain>
</file>

<file path=xl/sharedStrings.xml><?xml version="1.0" encoding="utf-8"?>
<sst xmlns="http://schemas.openxmlformats.org/spreadsheetml/2006/main" count="400" uniqueCount="260">
  <si>
    <t>Desert Ridge Auto Group — Dealer Profile &amp; Strategy</t>
  </si>
  <si>
    <t>Single decision-maker persona: Mike Reynolds, Used-Car Manager (sources inventory &amp; tracks lot performance)</t>
  </si>
  <si>
    <t>Attribute</t>
  </si>
  <si>
    <t>Value</t>
  </si>
  <si>
    <t>Model / Economic Constants</t>
  </si>
  <si>
    <t>Dealership</t>
  </si>
  <si>
    <t>Desert Ridge Auto Group</t>
  </si>
  <si>
    <t>Holding cost / day ($)</t>
  </si>
  <si>
    <t>Location</t>
  </si>
  <si>
    <t>Phoenix, Arizona</t>
  </si>
  <si>
    <t>Target GP / unit ($)</t>
  </si>
  <si>
    <t>Type</t>
  </si>
  <si>
    <t>Independent used-car dealership</t>
  </si>
  <si>
    <t>Auction fees ($)</t>
  </si>
  <si>
    <t>Current inventory</t>
  </si>
  <si>
    <t>125 vehicles</t>
  </si>
  <si>
    <t>Marketing ($)</t>
  </si>
  <si>
    <t>Monthly acquisitions</t>
  </si>
  <si>
    <t>60 vehicles</t>
  </si>
  <si>
    <t>Min P(sale ≤45d)</t>
  </si>
  <si>
    <t>Monthly sales</t>
  </si>
  <si>
    <t>55–65 vehicles</t>
  </si>
  <si>
    <t>Max P(loss)</t>
  </si>
  <si>
    <t>Target days-to-sale</t>
  </si>
  <si>
    <t>45 days</t>
  </si>
  <si>
    <t>Current avg days-to-sale</t>
  </si>
  <si>
    <t>72 days</t>
  </si>
  <si>
    <t>Blue = input · referenced by the Candidate Vehicles tab</t>
  </si>
  <si>
    <t>Target gross profit / unit</t>
  </si>
  <si>
    <t>$4,000+</t>
  </si>
  <si>
    <t>Current avg gross profit / unit</t>
  </si>
  <si>
    <t>$3,600</t>
  </si>
  <si>
    <t>Risk thresholds (Moderate)</t>
  </si>
  <si>
    <t>Capital available for inventory</t>
  </si>
  <si>
    <t>$2,000,000</t>
  </si>
  <si>
    <t>P(sale ≤45 days)</t>
  </si>
  <si>
    <t>≥ 75%</t>
  </si>
  <si>
    <t>Risk appetite</t>
  </si>
  <si>
    <t>Moderate</t>
  </si>
  <si>
    <t>P(sale after 90 days)</t>
  </si>
  <si>
    <t>≤ 10%</t>
  </si>
  <si>
    <t>Primary objective</t>
  </si>
  <si>
    <t>Balanced velocity + profitability</t>
  </si>
  <si>
    <t>P(loss)</t>
  </si>
  <si>
    <t>≤ 8%</t>
  </si>
  <si>
    <t>Max mileage</t>
  </si>
  <si>
    <t>100,000 mi</t>
  </si>
  <si>
    <t>Recon uncertainty</t>
  </si>
  <si>
    <t>Target Inventory Mix &amp; Portfolio Gaps</t>
  </si>
  <si>
    <t>Segment</t>
  </si>
  <si>
    <t>Target %</t>
  </si>
  <si>
    <t>Current %</t>
  </si>
  <si>
    <t>Gap (pts)</t>
  </si>
  <si>
    <t>Interpretation</t>
  </si>
  <si>
    <t>Compact SUV</t>
  </si>
  <si>
    <t>Significant shortage</t>
  </si>
  <si>
    <t>Midsize SUV</t>
  </si>
  <si>
    <t>Slightly overrepresented</t>
  </si>
  <si>
    <t>Pickup Truck</t>
  </si>
  <si>
    <t>Moderate shortage</t>
  </si>
  <si>
    <t>Sedan</t>
  </si>
  <si>
    <t>Overrepresented</t>
  </si>
  <si>
    <t>Luxury</t>
  </si>
  <si>
    <t>Slight shortage</t>
  </si>
  <si>
    <t>Minivan</t>
  </si>
  <si>
    <t>Neutral</t>
  </si>
  <si>
    <t>Other</t>
  </si>
  <si>
    <t>Gap = Current − Target. Negative = shortage (positive portfolio fit for that segment); positive = overrepresented (negative fit).</t>
  </si>
  <si>
    <t>20 Candidate Vehicles — Desert Ridge Auto Group (Phoenix)</t>
  </si>
  <si>
    <t>Predictions (blue) are model outputs; economics (black) are formulas. Holding = days × $18; Non-purchase = recon+fees+transport+marketing+holding; Contribution = sale price − bid − non-purchase; Max buy = sale price − non-purchase − $4,000 target GP.</t>
  </si>
  <si>
    <t>Archetype</t>
  </si>
  <si>
    <t>Year</t>
  </si>
  <si>
    <t>Make</t>
  </si>
  <si>
    <t>Model</t>
  </si>
  <si>
    <t>Trim</t>
  </si>
  <si>
    <t>Mileage</t>
  </si>
  <si>
    <t>Title</t>
  </si>
  <si>
    <t>Accident</t>
  </si>
  <si>
    <t>Cond (1-5)</t>
  </si>
  <si>
    <t>Auction</t>
  </si>
  <si>
    <t>Dist (mi)</t>
  </si>
  <si>
    <t>Current Bid</t>
  </si>
  <si>
    <t>Recon Est</t>
  </si>
  <si>
    <t>Fees</t>
  </si>
  <si>
    <t>Transport</t>
  </si>
  <si>
    <t>Marketing</t>
  </si>
  <si>
    <t>Exp Days</t>
  </si>
  <si>
    <t>Holding</t>
  </si>
  <si>
    <t>Non-Purch Cost</t>
  </si>
  <si>
    <t>Exp Sale (P50)</t>
  </si>
  <si>
    <t>P10</t>
  </si>
  <si>
    <t>P90</t>
  </si>
  <si>
    <t>Exp Contribution</t>
  </si>
  <si>
    <t>Rec. Max Buy</t>
  </si>
  <si>
    <t>Headroom</t>
  </si>
  <si>
    <t>Confidence</t>
  </si>
  <si>
    <t>P(≤45d)</t>
  </si>
  <si>
    <t>Portfolio Fit</t>
  </si>
  <si>
    <t>Recommendation</t>
  </si>
  <si>
    <t>Primary Reason</t>
  </si>
  <si>
    <t>Strong demand + economics</t>
  </si>
  <si>
    <t>Honda</t>
  </si>
  <si>
    <t>CR-V</t>
  </si>
  <si>
    <t>EX-L</t>
  </si>
  <si>
    <t>Clean</t>
  </si>
  <si>
    <t>None</t>
  </si>
  <si>
    <t>Manheim Phoenix</t>
  </si>
  <si>
    <t>High</t>
  </si>
  <si>
    <t>Positive — compact-SUV shortage</t>
  </si>
  <si>
    <t>BUY</t>
  </si>
  <si>
    <t>Strong local demand, priced below market, segment shortage.</t>
  </si>
  <si>
    <t>Toyota</t>
  </si>
  <si>
    <t>RAV4</t>
  </si>
  <si>
    <t>XLE</t>
  </si>
  <si>
    <t>ADESA Phoenix</t>
  </si>
  <si>
    <t>Fastest turn in set; strong demand + shortage.</t>
  </si>
  <si>
    <t>Strong truck demand</t>
  </si>
  <si>
    <t>Ford</t>
  </si>
  <si>
    <t>F-150</t>
  </si>
  <si>
    <t>XLT</t>
  </si>
  <si>
    <t>Positive — pickup shortage</t>
  </si>
  <si>
    <t>Strong truck demand and pickup shortage.</t>
  </si>
  <si>
    <t>Good car, overpriced</t>
  </si>
  <si>
    <t>Highlander</t>
  </si>
  <si>
    <t>Slightly negative — midsize over</t>
  </si>
  <si>
    <t>NEGOTIATE</t>
  </si>
  <si>
    <t>Great car, bid above max buy — negotiate below ~$32.7k.</t>
  </si>
  <si>
    <t>High profit, slow turn</t>
  </si>
  <si>
    <t>BMW</t>
  </si>
  <si>
    <t>530i</t>
  </si>
  <si>
    <t>Medium</t>
  </si>
  <si>
    <t>Segment short but too slow</t>
  </si>
  <si>
    <t>PASS</t>
  </si>
  <si>
    <t>High gross but 76-day turn fails 45-day velocity target.</t>
  </si>
  <si>
    <t>Fast turn, low margin</t>
  </si>
  <si>
    <t>Corolla</t>
  </si>
  <si>
    <t>LE</t>
  </si>
  <si>
    <t>Negative — sedan over</t>
  </si>
  <si>
    <t>Very liquid but expected margin below $4k target.</t>
  </si>
  <si>
    <t>Good vehicle, inventory overexposure</t>
  </si>
  <si>
    <t>Camry</t>
  </si>
  <si>
    <t>SE</t>
  </si>
  <si>
    <t>Strong negative — 14 Camrys vs 8</t>
  </si>
  <si>
    <t>CONDITIONAL</t>
  </si>
  <si>
    <t>Attractive alone, but overexposed — buy only below ~$20,500.</t>
  </si>
  <si>
    <t>High recon uncertainty</t>
  </si>
  <si>
    <t>Explorer</t>
  </si>
  <si>
    <t>Recon $1k–$5k (susp. transmission); downside too uncertain.</t>
  </si>
  <si>
    <t>Seasonal opportunity</t>
  </si>
  <si>
    <t>Jeep</t>
  </si>
  <si>
    <t>Wrangler</t>
  </si>
  <si>
    <t>Sport</t>
  </si>
  <si>
    <t>Seasonal uplift 1.25×</t>
  </si>
  <si>
    <t>Seasonal demand rising; forward-looking turn ≈39 days.</t>
  </si>
  <si>
    <t>Nationally strong, locally weak</t>
  </si>
  <si>
    <t>Hyundai</t>
  </si>
  <si>
    <t>Elantra</t>
  </si>
  <si>
    <t>SEL</t>
  </si>
  <si>
    <t>Negative — local oversupply</t>
  </si>
  <si>
    <t>Locally weak &amp; high supply — 67-day turn despite national demand.</t>
  </si>
  <si>
    <t>Strong dealer segment fit</t>
  </si>
  <si>
    <t>Lexus</t>
  </si>
  <si>
    <t>RX 350</t>
  </si>
  <si>
    <t>Base</t>
  </si>
  <si>
    <t>Very strong — 4 luxury vs 12</t>
  </si>
  <si>
    <t>Slightly slow generically, but strong luxury shortage → buy.</t>
  </si>
  <si>
    <t>High mileage, attractive economics</t>
  </si>
  <si>
    <t>Accord</t>
  </si>
  <si>
    <t>Neutral — outside mileage pref</t>
  </si>
  <si>
    <t>Good economics but 91k mi — buy only if inspection clears.</t>
  </si>
  <si>
    <t>Accident history, high upside</t>
  </si>
  <si>
    <t>Nissan</t>
  </si>
  <si>
    <t>Rogue</t>
  </si>
  <si>
    <t>SV</t>
  </si>
  <si>
    <t>Moderate (1)</t>
  </si>
  <si>
    <t>Positive segment, accident risk</t>
  </si>
  <si>
    <t>Strong economics but accident history — pass above $15,500.</t>
  </si>
  <si>
    <t>Operational capability-dependent</t>
  </si>
  <si>
    <t>Chevrolet</t>
  </si>
  <si>
    <t>Silverado 1500</t>
  </si>
  <si>
    <t>LT</t>
  </si>
  <si>
    <t>Positive segment; recon-dependent</t>
  </si>
  <si>
    <t>Recon $2,500 (no in-house shop) — economics flip on service capability.</t>
  </si>
  <si>
    <t>Excellent but capital intensive</t>
  </si>
  <si>
    <t>GMC</t>
  </si>
  <si>
    <t>Yukon Denali</t>
  </si>
  <si>
    <t>Ties up ~$62k — low capital velocity</t>
  </si>
  <si>
    <t>Excellent unit but capital-intensive; negotiate acquisition down.</t>
  </si>
  <si>
    <t>Low demand but deep discount</t>
  </si>
  <si>
    <t>Kia</t>
  </si>
  <si>
    <t>Optima</t>
  </si>
  <si>
    <t>LX</t>
  </si>
  <si>
    <t>Weak demand offset by deep discount — buy only at this price.</t>
  </si>
  <si>
    <t>Strong demand, low margin</t>
  </si>
  <si>
    <t>Civic</t>
  </si>
  <si>
    <t>Highly liquid but margin below $4k target.</t>
  </si>
  <si>
    <t>Strong vehicle, segment saturation</t>
  </si>
  <si>
    <t>Negative — midsize saturated (11 held)</t>
  </si>
  <si>
    <t>Strong vehicle but midsize-SUV segment already saturated.</t>
  </si>
  <si>
    <t>High uncertainty, high upside</t>
  </si>
  <si>
    <t>Tesla</t>
  </si>
  <si>
    <t>Model 3</t>
  </si>
  <si>
    <t>RWD</t>
  </si>
  <si>
    <t>EV Sedan</t>
  </si>
  <si>
    <t>Manheim Online</t>
  </si>
  <si>
    <t>Low</t>
  </si>
  <si>
    <t>Low confidence — thin EV comps</t>
  </si>
  <si>
    <t>RISK-DEPENDENT</t>
  </si>
  <si>
    <t>High upside but volatile EV resale &amp; thin comps — moderate: pass; aggressive: buy.</t>
  </si>
  <si>
    <t>Perfect dealer strategy match</t>
  </si>
  <si>
    <t>Mazda</t>
  </si>
  <si>
    <t>CX-5</t>
  </si>
  <si>
    <t>Touring</t>
  </si>
  <si>
    <t>Very strong — compact-SUV shortage</t>
  </si>
  <si>
    <t>Textbook fit: ideal miles/price, segment shortage, fast turn.</t>
  </si>
  <si>
    <t>Decision Logic — Prediction Layer ≠ Decision Layer</t>
  </si>
  <si>
    <t>Core principle</t>
  </si>
  <si>
    <t>The shared prediction layer estimates what will happen (sell-through, price, cost, risk). The personalized decision layer applies THIS dealer's goals, risk, inventory and capital to output BUY / NEGOTIATE / PASS + a max buy price. Change the dealer's settings and the decision changes with no model retraining.</t>
  </si>
  <si>
    <t>Economics</t>
  </si>
  <si>
    <t>Holding = Exp Days × $18/day.  Non-purchase cost = Recon + Fees($500) + Transport + Marketing($100) + Holding.  Expected contribution = Exp Sale Price − Current Bid − Non-purchase cost.  Recommended max buy = Exp Sale Price − Non-purchase cost − $4,000 target GP.</t>
  </si>
  <si>
    <t>P(sale ≤45d) ≥ 75%  AND  Expected contribution ≥ $4,000 (at or below max buy)  AND  P(loss) ≤ 8%  AND  no hard-constraint or portfolio-saturation violation.</t>
  </si>
  <si>
    <t>Vehicle is strong (velocity + demand pass) BUT current bid is above the recommended max buy. Output the max acceptable price. 'Good car, wrong price.'</t>
  </si>
  <si>
    <t>Any of: P(sale ≤45d) below target (slow turn) · expected contribution below target even at a fair price (low margin) · P(loss) above tolerance (high uncertainty) · hard-constraint fail (salvage/flood/frame/odometer/severe accident, or mileage &gt; 100k).</t>
  </si>
  <si>
    <t>Attractive but gated on a condition: a lower price (portfolio overexposure), an inspection (high mileage / recon), or an operational capability (in-house recon). Shown as 'Buy only if / below $X'.</t>
  </si>
  <si>
    <t>Expected value attractive but wide downside and thin data. Decision flips with the dealer's risk setting — PASS for moderate, BUY for aggressive.</t>
  </si>
  <si>
    <t>Portfolio adjustment</t>
  </si>
  <si>
    <t>Vehicle-level attractiveness is adjusted by segment gap (Segment Mix tab) and same-model exposure. A strong car in an oversupplied segment (e.g., 14 Camrys vs target 8) is downgraded to CONDITIONAL/PASS; a good car in a short segment (luxury 4 vs 12) is upgraded.</t>
  </si>
  <si>
    <t>Hero output</t>
  </si>
  <si>
    <t>Never a naked score. Always: ACTION + recommended max buy price + P(sale ≤45d) + expected contribution + why. 'Buy this vehicle, but do not exceed $X.'</t>
  </si>
  <si>
    <t>Sample Historical Outcomes — feedback loop for calibration</t>
  </si>
  <si>
    <t>Each purchased vehicle records predicted vs actual, so the engine is scored on realized outcomes (money made), not model fit alone.</t>
  </si>
  <si>
    <t>Vehicle</t>
  </si>
  <si>
    <t>Acquired</t>
  </si>
  <si>
    <t>Sale Price (pred)</t>
  </si>
  <si>
    <t>Sale Price (actual)</t>
  </si>
  <si>
    <t>Days (pred)</t>
  </si>
  <si>
    <t>Days (actual)</t>
  </si>
  <si>
    <t>Recon (pred)</t>
  </si>
  <si>
    <t>Recon (actual)</t>
  </si>
  <si>
    <t>Contribution (actual)</t>
  </si>
  <si>
    <t>Sold ≤45d?</t>
  </si>
  <si>
    <t>2022 Honda CR-V EX-L</t>
  </si>
  <si>
    <t>$22,500</t>
  </si>
  <si>
    <t>Yes</t>
  </si>
  <si>
    <t>2021 Toyota RAV4 XLE</t>
  </si>
  <si>
    <t>$23,000</t>
  </si>
  <si>
    <t>2022 Ford F-150 XLT</t>
  </si>
  <si>
    <t>$28,700</t>
  </si>
  <si>
    <t>No</t>
  </si>
  <si>
    <t>2021 BMW 530i</t>
  </si>
  <si>
    <t>$29,500</t>
  </si>
  <si>
    <t>2022 Toyota Camry SE</t>
  </si>
  <si>
    <t>$20,400</t>
  </si>
  <si>
    <t>2021 Jeep Wrangler Sport</t>
  </si>
  <si>
    <t>$25,300</t>
  </si>
  <si>
    <t>2021 Lexus RX 350</t>
  </si>
  <si>
    <t>$31,600</t>
  </si>
  <si>
    <t>2022 Mazda CX-5 Touring</t>
  </si>
  <si>
    <t>$20,800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</si>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</sst>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;&quot;($&quot;#,##0\)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9"/>
      <color rgb="FF595959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0"/>
      <color rgb="FF0000FF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rgb="FFFFFFFF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CE9D2"/>
        <bgColor rgb="FFFBE4E1"/>
      </patternFill>
    </fill>
    <fill>
      <patternFill patternType="solid">
        <fgColor rgb="FFFBE4E1"/>
        <bgColor rgb="FFFCE9D2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9" fontId="6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4" fillId="7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/>
    <xf numFmtId="0" fontId="2" fillId="0" borderId="2" xfId="0" applyFont="1" applyBorder="1"/>
    <xf numFmtId="9" fontId="6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9D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4E1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selection activeCell="B16" sqref="B16"/>
    </sheetView>
  </sheetViews>
  <sheetFormatPr defaultColWidth="8.6328125" defaultRowHeight="14" x14ac:dyDescent="0.3"/>
  <cols>
    <col min="1" max="1" width="30" style="2" customWidth="1"/>
    <col min="2" max="2" width="32" style="2" customWidth="1"/>
    <col min="3" max="4" width="8.6328125" style="2"/>
    <col min="5" max="5" width="26" style="2" customWidth="1"/>
    <col min="6" max="6" width="22" style="2" customWidth="1"/>
    <col min="7" max="16384" width="8.6328125" style="2"/>
  </cols>
  <sheetData>
    <row r="1" spans="1:6" ht="17.5" x14ac:dyDescent="0.35">
      <c r="A1" s="1" t="s">
        <v>0</v>
      </c>
      <c r="B1" s="1"/>
      <c r="C1" s="1"/>
      <c r="D1" s="1"/>
    </row>
    <row r="2" spans="1:6" x14ac:dyDescent="0.3">
      <c r="A2" s="3" t="s">
        <v>1</v>
      </c>
      <c r="B2" s="3"/>
      <c r="C2" s="3"/>
      <c r="D2" s="3"/>
    </row>
    <row r="4" spans="1:6" x14ac:dyDescent="0.3">
      <c r="A4" s="23" t="s">
        <v>2</v>
      </c>
      <c r="B4" s="23" t="s">
        <v>3</v>
      </c>
      <c r="E4" s="25" t="s">
        <v>4</v>
      </c>
      <c r="F4" s="26"/>
    </row>
    <row r="5" spans="1:6" x14ac:dyDescent="0.3">
      <c r="A5" s="24" t="s">
        <v>5</v>
      </c>
      <c r="B5" s="7" t="s">
        <v>6</v>
      </c>
      <c r="E5" s="24" t="s">
        <v>7</v>
      </c>
      <c r="F5" s="9">
        <v>18</v>
      </c>
    </row>
    <row r="6" spans="1:6" x14ac:dyDescent="0.3">
      <c r="A6" s="24" t="s">
        <v>8</v>
      </c>
      <c r="B6" s="7" t="s">
        <v>9</v>
      </c>
      <c r="E6" s="24" t="s">
        <v>10</v>
      </c>
      <c r="F6" s="9">
        <v>4000</v>
      </c>
    </row>
    <row r="7" spans="1:6" x14ac:dyDescent="0.3">
      <c r="A7" s="24" t="s">
        <v>11</v>
      </c>
      <c r="B7" s="7" t="s">
        <v>12</v>
      </c>
      <c r="E7" s="24" t="s">
        <v>13</v>
      </c>
      <c r="F7" s="9">
        <v>500</v>
      </c>
    </row>
    <row r="8" spans="1:6" x14ac:dyDescent="0.3">
      <c r="A8" s="24" t="s">
        <v>14</v>
      </c>
      <c r="B8" s="7" t="s">
        <v>15</v>
      </c>
      <c r="E8" s="24" t="s">
        <v>16</v>
      </c>
      <c r="F8" s="9">
        <v>100</v>
      </c>
    </row>
    <row r="9" spans="1:6" x14ac:dyDescent="0.3">
      <c r="A9" s="24" t="s">
        <v>17</v>
      </c>
      <c r="B9" s="7" t="s">
        <v>18</v>
      </c>
      <c r="E9" s="24" t="s">
        <v>19</v>
      </c>
      <c r="F9" s="27">
        <v>0.75</v>
      </c>
    </row>
    <row r="10" spans="1:6" x14ac:dyDescent="0.3">
      <c r="A10" s="24" t="s">
        <v>20</v>
      </c>
      <c r="B10" s="7" t="s">
        <v>21</v>
      </c>
      <c r="E10" s="24" t="s">
        <v>22</v>
      </c>
      <c r="F10" s="27">
        <v>0.08</v>
      </c>
    </row>
    <row r="11" spans="1:6" x14ac:dyDescent="0.3">
      <c r="A11" s="24" t="s">
        <v>23</v>
      </c>
      <c r="B11" s="7" t="s">
        <v>24</v>
      </c>
    </row>
    <row r="12" spans="1:6" x14ac:dyDescent="0.3">
      <c r="A12" s="24" t="s">
        <v>25</v>
      </c>
      <c r="B12" s="7" t="s">
        <v>26</v>
      </c>
      <c r="E12" s="22" t="s">
        <v>27</v>
      </c>
    </row>
    <row r="13" spans="1:6" x14ac:dyDescent="0.3">
      <c r="A13" s="24" t="s">
        <v>28</v>
      </c>
      <c r="B13" s="7" t="s">
        <v>29</v>
      </c>
    </row>
    <row r="14" spans="1:6" x14ac:dyDescent="0.3">
      <c r="A14" s="24" t="s">
        <v>30</v>
      </c>
      <c r="B14" s="7" t="s">
        <v>31</v>
      </c>
      <c r="E14" s="25" t="s">
        <v>32</v>
      </c>
      <c r="F14" s="26"/>
    </row>
    <row r="15" spans="1:6" x14ac:dyDescent="0.3">
      <c r="A15" s="24" t="s">
        <v>33</v>
      </c>
      <c r="B15" s="7" t="s">
        <v>34</v>
      </c>
      <c r="E15" s="7" t="s">
        <v>35</v>
      </c>
      <c r="F15" s="28" t="s">
        <v>36</v>
      </c>
    </row>
    <row r="16" spans="1:6" x14ac:dyDescent="0.3">
      <c r="A16" s="24" t="s">
        <v>37</v>
      </c>
      <c r="B16" s="7" t="s">
        <v>38</v>
      </c>
      <c r="E16" s="7" t="s">
        <v>39</v>
      </c>
      <c r="F16" s="28" t="s">
        <v>40</v>
      </c>
    </row>
    <row r="17" spans="1:6" x14ac:dyDescent="0.3">
      <c r="A17" s="24" t="s">
        <v>41</v>
      </c>
      <c r="B17" s="7" t="s">
        <v>42</v>
      </c>
      <c r="E17" s="7" t="s">
        <v>43</v>
      </c>
      <c r="F17" s="28" t="s">
        <v>44</v>
      </c>
    </row>
    <row r="18" spans="1:6" x14ac:dyDescent="0.3">
      <c r="E18" s="7" t="s">
        <v>45</v>
      </c>
      <c r="F18" s="28" t="s">
        <v>46</v>
      </c>
    </row>
    <row r="19" spans="1:6" x14ac:dyDescent="0.3">
      <c r="E19" s="7" t="s">
        <v>47</v>
      </c>
      <c r="F19" s="28" t="s">
        <v>38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selection activeCell="E17" sqref="E17"/>
    </sheetView>
  </sheetViews>
  <sheetFormatPr defaultColWidth="8.6328125" defaultRowHeight="14" x14ac:dyDescent="0.3"/>
  <cols>
    <col min="1" max="1" width="16" style="2" customWidth="1"/>
    <col min="2" max="4" width="11" style="2" customWidth="1"/>
    <col min="5" max="5" width="30" style="2" customWidth="1"/>
    <col min="6" max="16384" width="8.6328125" style="2"/>
  </cols>
  <sheetData>
    <row r="1" spans="1:5" ht="17.5" x14ac:dyDescent="0.35">
      <c r="A1" s="1" t="s">
        <v>48</v>
      </c>
      <c r="B1" s="1"/>
      <c r="C1" s="1"/>
      <c r="D1" s="1"/>
      <c r="E1" s="1"/>
    </row>
    <row r="3" spans="1:5" x14ac:dyDescent="0.3">
      <c r="A3" s="18" t="s">
        <v>49</v>
      </c>
      <c r="B3" s="18" t="s">
        <v>50</v>
      </c>
      <c r="C3" s="18" t="s">
        <v>51</v>
      </c>
      <c r="D3" s="18" t="s">
        <v>52</v>
      </c>
      <c r="E3" s="18" t="s">
        <v>53</v>
      </c>
    </row>
    <row r="4" spans="1:5" x14ac:dyDescent="0.3">
      <c r="A4" s="19" t="s">
        <v>54</v>
      </c>
      <c r="B4" s="20">
        <v>0.25</v>
      </c>
      <c r="C4" s="20">
        <v>0.18</v>
      </c>
      <c r="D4" s="21">
        <f t="shared" ref="D4:D10" si="0">(C4-B4)</f>
        <v>-7.0000000000000007E-2</v>
      </c>
      <c r="E4" s="4" t="s">
        <v>55</v>
      </c>
    </row>
    <row r="5" spans="1:5" x14ac:dyDescent="0.3">
      <c r="A5" s="19" t="s">
        <v>56</v>
      </c>
      <c r="B5" s="20">
        <v>0.2</v>
      </c>
      <c r="C5" s="20">
        <v>0.24</v>
      </c>
      <c r="D5" s="21">
        <f t="shared" si="0"/>
        <v>3.999999999999998E-2</v>
      </c>
      <c r="E5" s="4" t="s">
        <v>57</v>
      </c>
    </row>
    <row r="6" spans="1:5" x14ac:dyDescent="0.3">
      <c r="A6" s="19" t="s">
        <v>58</v>
      </c>
      <c r="B6" s="20">
        <v>0.2</v>
      </c>
      <c r="C6" s="20">
        <v>0.17</v>
      </c>
      <c r="D6" s="21">
        <f t="shared" si="0"/>
        <v>-0.03</v>
      </c>
      <c r="E6" s="4" t="s">
        <v>59</v>
      </c>
    </row>
    <row r="7" spans="1:5" x14ac:dyDescent="0.3">
      <c r="A7" s="19" t="s">
        <v>60</v>
      </c>
      <c r="B7" s="20">
        <v>0.15</v>
      </c>
      <c r="C7" s="20">
        <v>0.22</v>
      </c>
      <c r="D7" s="21">
        <f t="shared" si="0"/>
        <v>7.0000000000000007E-2</v>
      </c>
      <c r="E7" s="4" t="s">
        <v>61</v>
      </c>
    </row>
    <row r="8" spans="1:5" x14ac:dyDescent="0.3">
      <c r="A8" s="19" t="s">
        <v>62</v>
      </c>
      <c r="B8" s="20">
        <v>0.1</v>
      </c>
      <c r="C8" s="20">
        <v>7.0000000000000007E-2</v>
      </c>
      <c r="D8" s="21">
        <f t="shared" si="0"/>
        <v>-0.03</v>
      </c>
      <c r="E8" s="4" t="s">
        <v>63</v>
      </c>
    </row>
    <row r="9" spans="1:5" x14ac:dyDescent="0.3">
      <c r="A9" s="19" t="s">
        <v>64</v>
      </c>
      <c r="B9" s="20">
        <v>0.05</v>
      </c>
      <c r="C9" s="20">
        <v>0.04</v>
      </c>
      <c r="D9" s="21">
        <f t="shared" si="0"/>
        <v>-1.0000000000000002E-2</v>
      </c>
      <c r="E9" s="4" t="s">
        <v>65</v>
      </c>
    </row>
    <row r="10" spans="1:5" x14ac:dyDescent="0.3">
      <c r="A10" s="19" t="s">
        <v>66</v>
      </c>
      <c r="B10" s="20">
        <v>0.05</v>
      </c>
      <c r="C10" s="20">
        <v>0.08</v>
      </c>
      <c r="D10" s="21">
        <f t="shared" si="0"/>
        <v>0.03</v>
      </c>
      <c r="E10" s="4" t="s">
        <v>57</v>
      </c>
    </row>
    <row r="13" spans="1:5" x14ac:dyDescent="0.3">
      <c r="A13" s="3" t="s">
        <v>67</v>
      </c>
      <c r="B13" s="3"/>
      <c r="C13" s="3"/>
      <c r="D13" s="3"/>
      <c r="E13" s="3"/>
    </row>
  </sheetData>
  <mergeCells count="2">
    <mergeCell ref="A1:E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3"/>
  <sheetViews>
    <sheetView zoomScaleNormal="100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AD8" sqref="AD8"/>
    </sheetView>
  </sheetViews>
  <sheetFormatPr defaultColWidth="8.6328125" defaultRowHeight="14.5" x14ac:dyDescent="0.35"/>
  <cols>
    <col min="1" max="1" width="7.26953125" customWidth="1"/>
    <col min="2" max="2" width="26" customWidth="1"/>
    <col min="3" max="3" width="6" customWidth="1"/>
    <col min="4" max="4" width="10" customWidth="1"/>
    <col min="5" max="5" width="13" customWidth="1"/>
    <col min="6" max="6" width="9" customWidth="1"/>
    <col min="7" max="7" width="13" customWidth="1"/>
    <col min="8" max="8" width="9" customWidth="1"/>
    <col min="9" max="9" width="8" customWidth="1"/>
    <col min="10" max="10" width="13" customWidth="1"/>
    <col min="11" max="11" width="8" customWidth="1"/>
    <col min="12" max="12" width="15" customWidth="1"/>
    <col min="13" max="13" width="8" customWidth="1"/>
    <col min="14" max="14" width="11" customWidth="1"/>
    <col min="15" max="15" width="10" customWidth="1"/>
    <col min="16" max="16" width="8" customWidth="1"/>
    <col min="17" max="18" width="10" customWidth="1"/>
    <col min="19" max="19" width="8" customWidth="1"/>
    <col min="20" max="20" width="9" customWidth="1"/>
    <col min="21" max="21" width="13" customWidth="1"/>
    <col min="22" max="22" width="12" customWidth="1"/>
    <col min="23" max="24" width="10" customWidth="1"/>
    <col min="25" max="25" width="13" customWidth="1"/>
    <col min="26" max="26" width="12" customWidth="1"/>
    <col min="27" max="28" width="11" customWidth="1"/>
    <col min="29" max="30" width="8" customWidth="1"/>
    <col min="31" max="31" width="26" customWidth="1"/>
    <col min="32" max="32" width="16.7265625" bestFit="1" customWidth="1"/>
    <col min="33" max="33" width="42" customWidth="1"/>
  </cols>
  <sheetData>
    <row r="1" spans="1:33" ht="17.5" x14ac:dyDescent="0.3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35">
      <c r="A2" s="3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5" x14ac:dyDescent="0.35">
      <c r="A3" s="5" t="s">
        <v>259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74</v>
      </c>
      <c r="G3" s="5" t="s">
        <v>49</v>
      </c>
      <c r="H3" s="5" t="s">
        <v>75</v>
      </c>
      <c r="I3" s="5" t="s">
        <v>76</v>
      </c>
      <c r="J3" s="5" t="s">
        <v>77</v>
      </c>
      <c r="K3" s="5" t="s">
        <v>78</v>
      </c>
      <c r="L3" s="5" t="s">
        <v>79</v>
      </c>
      <c r="M3" s="5" t="s">
        <v>80</v>
      </c>
      <c r="N3" s="5" t="s">
        <v>81</v>
      </c>
      <c r="O3" s="5" t="s">
        <v>82</v>
      </c>
      <c r="P3" s="5" t="s">
        <v>83</v>
      </c>
      <c r="Q3" s="5" t="s">
        <v>84</v>
      </c>
      <c r="R3" s="5" t="s">
        <v>85</v>
      </c>
      <c r="S3" s="5" t="s">
        <v>86</v>
      </c>
      <c r="T3" s="5" t="s">
        <v>87</v>
      </c>
      <c r="U3" s="5" t="s">
        <v>88</v>
      </c>
      <c r="V3" s="5" t="s">
        <v>89</v>
      </c>
      <c r="W3" s="5" t="s">
        <v>90</v>
      </c>
      <c r="X3" s="5" t="s">
        <v>91</v>
      </c>
      <c r="Y3" s="5" t="s">
        <v>92</v>
      </c>
      <c r="Z3" s="5" t="s">
        <v>93</v>
      </c>
      <c r="AA3" s="5" t="s">
        <v>94</v>
      </c>
      <c r="AB3" s="5" t="s">
        <v>95</v>
      </c>
      <c r="AC3" s="5" t="s">
        <v>96</v>
      </c>
      <c r="AD3" s="5" t="s">
        <v>43</v>
      </c>
      <c r="AE3" s="5" t="s">
        <v>97</v>
      </c>
      <c r="AF3" s="5" t="s">
        <v>98</v>
      </c>
      <c r="AG3" s="5" t="s">
        <v>99</v>
      </c>
    </row>
    <row r="4" spans="1:33" ht="25" x14ac:dyDescent="0.35">
      <c r="A4" s="6">
        <v>1</v>
      </c>
      <c r="B4" s="7" t="s">
        <v>100</v>
      </c>
      <c r="C4" s="8">
        <v>2022</v>
      </c>
      <c r="D4" s="6" t="s">
        <v>101</v>
      </c>
      <c r="E4" s="6" t="s">
        <v>102</v>
      </c>
      <c r="F4" s="6" t="s">
        <v>103</v>
      </c>
      <c r="G4" s="7" t="s">
        <v>54</v>
      </c>
      <c r="H4" s="8">
        <v>32400</v>
      </c>
      <c r="I4" s="7" t="s">
        <v>104</v>
      </c>
      <c r="J4" s="7" t="s">
        <v>105</v>
      </c>
      <c r="K4" s="8">
        <v>4.2</v>
      </c>
      <c r="L4" s="7" t="s">
        <v>106</v>
      </c>
      <c r="M4" s="8">
        <v>15</v>
      </c>
      <c r="N4" s="9">
        <v>22500</v>
      </c>
      <c r="O4" s="9">
        <v>900</v>
      </c>
      <c r="P4" s="9">
        <v>500</v>
      </c>
      <c r="Q4" s="9">
        <v>400</v>
      </c>
      <c r="R4" s="9">
        <v>100</v>
      </c>
      <c r="S4" s="8">
        <v>38</v>
      </c>
      <c r="T4" s="10">
        <f>S4*'Dealer Profile'!$F$5</f>
        <v>684</v>
      </c>
      <c r="U4" s="10">
        <f t="shared" ref="U4:U23" si="0">O4+P4+Q4+R4+T4</f>
        <v>2584</v>
      </c>
      <c r="V4" s="9">
        <v>29800</v>
      </c>
      <c r="W4" s="9">
        <v>28900</v>
      </c>
      <c r="X4" s="9">
        <v>30700</v>
      </c>
      <c r="Y4" s="11">
        <f t="shared" ref="Y4:Y23" si="1">V4-N4-U4</f>
        <v>4716</v>
      </c>
      <c r="Z4" s="11">
        <f>V4-U4-'Dealer Profile'!$F$6</f>
        <v>23216</v>
      </c>
      <c r="AA4" s="12">
        <f t="shared" ref="AA4:AA23" si="2">Z4-N4</f>
        <v>716</v>
      </c>
      <c r="AB4" s="6" t="s">
        <v>107</v>
      </c>
      <c r="AC4" s="13">
        <v>0.84</v>
      </c>
      <c r="AD4" s="13">
        <v>0.03</v>
      </c>
      <c r="AE4" s="7" t="s">
        <v>108</v>
      </c>
      <c r="AF4" s="14" t="s">
        <v>109</v>
      </c>
      <c r="AG4" s="7" t="s">
        <v>110</v>
      </c>
    </row>
    <row r="5" spans="1:33" ht="25" x14ac:dyDescent="0.35">
      <c r="A5" s="6">
        <v>2</v>
      </c>
      <c r="B5" s="7" t="s">
        <v>100</v>
      </c>
      <c r="C5" s="8">
        <v>2021</v>
      </c>
      <c r="D5" s="6" t="s">
        <v>111</v>
      </c>
      <c r="E5" s="6" t="s">
        <v>112</v>
      </c>
      <c r="F5" s="6" t="s">
        <v>113</v>
      </c>
      <c r="G5" s="7" t="s">
        <v>54</v>
      </c>
      <c r="H5" s="8">
        <v>41000</v>
      </c>
      <c r="I5" s="7" t="s">
        <v>104</v>
      </c>
      <c r="J5" s="7" t="s">
        <v>105</v>
      </c>
      <c r="K5" s="8">
        <v>4.3</v>
      </c>
      <c r="L5" s="7" t="s">
        <v>114</v>
      </c>
      <c r="M5" s="8">
        <v>20</v>
      </c>
      <c r="N5" s="9">
        <v>23000</v>
      </c>
      <c r="O5" s="9">
        <v>850</v>
      </c>
      <c r="P5" s="9">
        <v>500</v>
      </c>
      <c r="Q5" s="9">
        <v>400</v>
      </c>
      <c r="R5" s="9">
        <v>100</v>
      </c>
      <c r="S5" s="8">
        <v>34</v>
      </c>
      <c r="T5" s="10">
        <f>S5*'Dealer Profile'!$F$5</f>
        <v>612</v>
      </c>
      <c r="U5" s="10">
        <f t="shared" si="0"/>
        <v>2462</v>
      </c>
      <c r="V5" s="9">
        <v>30500</v>
      </c>
      <c r="W5" s="9">
        <v>29600</v>
      </c>
      <c r="X5" s="9">
        <v>31400</v>
      </c>
      <c r="Y5" s="11">
        <f t="shared" si="1"/>
        <v>5038</v>
      </c>
      <c r="Z5" s="11">
        <f>V5-U5-'Dealer Profile'!$F$6</f>
        <v>24038</v>
      </c>
      <c r="AA5" s="12">
        <f t="shared" si="2"/>
        <v>1038</v>
      </c>
      <c r="AB5" s="6" t="s">
        <v>107</v>
      </c>
      <c r="AC5" s="13">
        <v>0.89</v>
      </c>
      <c r="AD5" s="13">
        <v>0.03</v>
      </c>
      <c r="AE5" s="7" t="s">
        <v>108</v>
      </c>
      <c r="AF5" s="14" t="s">
        <v>109</v>
      </c>
      <c r="AG5" s="7" t="s">
        <v>115</v>
      </c>
    </row>
    <row r="6" spans="1:33" x14ac:dyDescent="0.35">
      <c r="A6" s="6">
        <v>3</v>
      </c>
      <c r="B6" s="7" t="s">
        <v>116</v>
      </c>
      <c r="C6" s="8">
        <v>2022</v>
      </c>
      <c r="D6" s="6" t="s">
        <v>117</v>
      </c>
      <c r="E6" s="6" t="s">
        <v>118</v>
      </c>
      <c r="F6" s="6" t="s">
        <v>119</v>
      </c>
      <c r="G6" s="7" t="s">
        <v>58</v>
      </c>
      <c r="H6" s="8">
        <v>48000</v>
      </c>
      <c r="I6" s="7" t="s">
        <v>104</v>
      </c>
      <c r="J6" s="7" t="s">
        <v>105</v>
      </c>
      <c r="K6" s="8">
        <v>4.0999999999999996</v>
      </c>
      <c r="L6" s="7" t="s">
        <v>106</v>
      </c>
      <c r="M6" s="8">
        <v>15</v>
      </c>
      <c r="N6" s="9">
        <v>28500</v>
      </c>
      <c r="O6" s="9">
        <v>1800</v>
      </c>
      <c r="P6" s="9">
        <v>500</v>
      </c>
      <c r="Q6" s="9">
        <v>400</v>
      </c>
      <c r="R6" s="9">
        <v>100</v>
      </c>
      <c r="S6" s="8">
        <v>41</v>
      </c>
      <c r="T6" s="10">
        <f>S6*'Dealer Profile'!$F$5</f>
        <v>738</v>
      </c>
      <c r="U6" s="10">
        <f t="shared" si="0"/>
        <v>3538</v>
      </c>
      <c r="V6" s="9">
        <v>37200</v>
      </c>
      <c r="W6" s="9">
        <v>36000</v>
      </c>
      <c r="X6" s="9">
        <v>38400</v>
      </c>
      <c r="Y6" s="11">
        <f t="shared" si="1"/>
        <v>5162</v>
      </c>
      <c r="Z6" s="11">
        <f>V6-U6-'Dealer Profile'!$F$6</f>
        <v>29662</v>
      </c>
      <c r="AA6" s="12">
        <f t="shared" si="2"/>
        <v>1162</v>
      </c>
      <c r="AB6" s="6" t="s">
        <v>107</v>
      </c>
      <c r="AC6" s="13">
        <v>0.78</v>
      </c>
      <c r="AD6" s="13">
        <v>0.04</v>
      </c>
      <c r="AE6" s="7" t="s">
        <v>120</v>
      </c>
      <c r="AF6" s="14" t="s">
        <v>109</v>
      </c>
      <c r="AG6" s="7" t="s">
        <v>121</v>
      </c>
    </row>
    <row r="7" spans="1:33" ht="25" x14ac:dyDescent="0.35">
      <c r="A7" s="6">
        <v>4</v>
      </c>
      <c r="B7" s="7" t="s">
        <v>122</v>
      </c>
      <c r="C7" s="8">
        <v>2022</v>
      </c>
      <c r="D7" s="6" t="s">
        <v>111</v>
      </c>
      <c r="E7" s="6" t="s">
        <v>123</v>
      </c>
      <c r="F7" s="6" t="s">
        <v>113</v>
      </c>
      <c r="G7" s="7" t="s">
        <v>56</v>
      </c>
      <c r="H7" s="8">
        <v>38000</v>
      </c>
      <c r="I7" s="7" t="s">
        <v>104</v>
      </c>
      <c r="J7" s="7" t="s">
        <v>105</v>
      </c>
      <c r="K7" s="8">
        <v>4.5999999999999996</v>
      </c>
      <c r="L7" s="7" t="s">
        <v>106</v>
      </c>
      <c r="M7" s="8">
        <v>15</v>
      </c>
      <c r="N7" s="9">
        <v>34000</v>
      </c>
      <c r="O7" s="9">
        <v>1200</v>
      </c>
      <c r="P7" s="9">
        <v>500</v>
      </c>
      <c r="Q7" s="9">
        <v>400</v>
      </c>
      <c r="R7" s="9">
        <v>100</v>
      </c>
      <c r="S7" s="8">
        <v>35</v>
      </c>
      <c r="T7" s="10">
        <f>S7*'Dealer Profile'!$F$5</f>
        <v>630</v>
      </c>
      <c r="U7" s="10">
        <f t="shared" si="0"/>
        <v>2830</v>
      </c>
      <c r="V7" s="9">
        <v>39500</v>
      </c>
      <c r="W7" s="9">
        <v>38300</v>
      </c>
      <c r="X7" s="9">
        <v>40700</v>
      </c>
      <c r="Y7" s="11">
        <f t="shared" si="1"/>
        <v>2670</v>
      </c>
      <c r="Z7" s="11">
        <f>V7-U7-'Dealer Profile'!$F$6</f>
        <v>32670</v>
      </c>
      <c r="AA7" s="12">
        <f t="shared" si="2"/>
        <v>-1330</v>
      </c>
      <c r="AB7" s="6" t="s">
        <v>107</v>
      </c>
      <c r="AC7" s="13">
        <v>0.86</v>
      </c>
      <c r="AD7" s="13">
        <v>0.03</v>
      </c>
      <c r="AE7" s="7" t="s">
        <v>124</v>
      </c>
      <c r="AF7" s="15" t="s">
        <v>125</v>
      </c>
      <c r="AG7" s="7" t="s">
        <v>126</v>
      </c>
    </row>
    <row r="8" spans="1:33" ht="25" x14ac:dyDescent="0.35">
      <c r="A8" s="6">
        <v>5</v>
      </c>
      <c r="B8" s="7" t="s">
        <v>127</v>
      </c>
      <c r="C8" s="8">
        <v>2021</v>
      </c>
      <c r="D8" s="6" t="s">
        <v>128</v>
      </c>
      <c r="E8" s="6" t="s">
        <v>129</v>
      </c>
      <c r="F8" s="6" t="s">
        <v>62</v>
      </c>
      <c r="G8" s="7" t="s">
        <v>62</v>
      </c>
      <c r="H8" s="8">
        <v>42000</v>
      </c>
      <c r="I8" s="7" t="s">
        <v>104</v>
      </c>
      <c r="J8" s="7" t="s">
        <v>105</v>
      </c>
      <c r="K8" s="8">
        <v>4.4000000000000004</v>
      </c>
      <c r="L8" s="7" t="s">
        <v>114</v>
      </c>
      <c r="M8" s="8">
        <v>20</v>
      </c>
      <c r="N8" s="9">
        <v>31000</v>
      </c>
      <c r="O8" s="9">
        <v>1400</v>
      </c>
      <c r="P8" s="9">
        <v>500</v>
      </c>
      <c r="Q8" s="9">
        <v>400</v>
      </c>
      <c r="R8" s="9">
        <v>100</v>
      </c>
      <c r="S8" s="8">
        <v>76</v>
      </c>
      <c r="T8" s="10">
        <f>S8*'Dealer Profile'!$F$5</f>
        <v>1368</v>
      </c>
      <c r="U8" s="10">
        <f t="shared" si="0"/>
        <v>3768</v>
      </c>
      <c r="V8" s="9">
        <v>41500</v>
      </c>
      <c r="W8" s="9">
        <v>39800</v>
      </c>
      <c r="X8" s="9">
        <v>43200</v>
      </c>
      <c r="Y8" s="11">
        <f t="shared" si="1"/>
        <v>6732</v>
      </c>
      <c r="Z8" s="11">
        <f>V8-U8-'Dealer Profile'!$F$6</f>
        <v>33732</v>
      </c>
      <c r="AA8" s="12">
        <f t="shared" si="2"/>
        <v>2732</v>
      </c>
      <c r="AB8" s="6" t="s">
        <v>130</v>
      </c>
      <c r="AC8" s="13">
        <v>0.42</v>
      </c>
      <c r="AD8" s="13">
        <v>0.09</v>
      </c>
      <c r="AE8" s="7" t="s">
        <v>131</v>
      </c>
      <c r="AF8" s="16" t="s">
        <v>132</v>
      </c>
      <c r="AG8" s="7" t="s">
        <v>133</v>
      </c>
    </row>
    <row r="9" spans="1:33" x14ac:dyDescent="0.35">
      <c r="A9" s="6">
        <v>6</v>
      </c>
      <c r="B9" s="7" t="s">
        <v>134</v>
      </c>
      <c r="C9" s="8">
        <v>2022</v>
      </c>
      <c r="D9" s="6" t="s">
        <v>111</v>
      </c>
      <c r="E9" s="6" t="s">
        <v>135</v>
      </c>
      <c r="F9" s="6" t="s">
        <v>136</v>
      </c>
      <c r="G9" s="7" t="s">
        <v>60</v>
      </c>
      <c r="H9" s="8">
        <v>29000</v>
      </c>
      <c r="I9" s="7" t="s">
        <v>104</v>
      </c>
      <c r="J9" s="7" t="s">
        <v>105</v>
      </c>
      <c r="K9" s="8">
        <v>4.3</v>
      </c>
      <c r="L9" s="7" t="s">
        <v>106</v>
      </c>
      <c r="M9" s="8">
        <v>15</v>
      </c>
      <c r="N9" s="9">
        <v>17500</v>
      </c>
      <c r="O9" s="9">
        <v>400</v>
      </c>
      <c r="P9" s="9">
        <v>500</v>
      </c>
      <c r="Q9" s="9">
        <v>400</v>
      </c>
      <c r="R9" s="9">
        <v>100</v>
      </c>
      <c r="S9" s="8">
        <v>22</v>
      </c>
      <c r="T9" s="10">
        <f>S9*'Dealer Profile'!$F$5</f>
        <v>396</v>
      </c>
      <c r="U9" s="10">
        <f t="shared" si="0"/>
        <v>1796</v>
      </c>
      <c r="V9" s="9">
        <v>21200</v>
      </c>
      <c r="W9" s="9">
        <v>20600</v>
      </c>
      <c r="X9" s="9">
        <v>21800</v>
      </c>
      <c r="Y9" s="11">
        <f t="shared" si="1"/>
        <v>1904</v>
      </c>
      <c r="Z9" s="11">
        <f>V9-U9-'Dealer Profile'!$F$6</f>
        <v>15404</v>
      </c>
      <c r="AA9" s="12">
        <f t="shared" si="2"/>
        <v>-2096</v>
      </c>
      <c r="AB9" s="6" t="s">
        <v>107</v>
      </c>
      <c r="AC9" s="13">
        <v>0.94</v>
      </c>
      <c r="AD9" s="13">
        <v>0.02</v>
      </c>
      <c r="AE9" s="7" t="s">
        <v>137</v>
      </c>
      <c r="AF9" s="16" t="s">
        <v>132</v>
      </c>
      <c r="AG9" s="7" t="s">
        <v>138</v>
      </c>
    </row>
    <row r="10" spans="1:33" ht="25" x14ac:dyDescent="0.35">
      <c r="A10" s="6">
        <v>7</v>
      </c>
      <c r="B10" s="7" t="s">
        <v>139</v>
      </c>
      <c r="C10" s="8">
        <v>2022</v>
      </c>
      <c r="D10" s="6" t="s">
        <v>111</v>
      </c>
      <c r="E10" s="6" t="s">
        <v>140</v>
      </c>
      <c r="F10" s="6" t="s">
        <v>141</v>
      </c>
      <c r="G10" s="7" t="s">
        <v>60</v>
      </c>
      <c r="H10" s="8">
        <v>35000</v>
      </c>
      <c r="I10" s="7" t="s">
        <v>104</v>
      </c>
      <c r="J10" s="7" t="s">
        <v>105</v>
      </c>
      <c r="K10" s="8">
        <v>4.4000000000000004</v>
      </c>
      <c r="L10" s="7" t="s">
        <v>106</v>
      </c>
      <c r="M10" s="8">
        <v>15</v>
      </c>
      <c r="N10" s="9">
        <v>21500</v>
      </c>
      <c r="O10" s="9">
        <v>700</v>
      </c>
      <c r="P10" s="9">
        <v>500</v>
      </c>
      <c r="Q10" s="9">
        <v>400</v>
      </c>
      <c r="R10" s="9">
        <v>100</v>
      </c>
      <c r="S10" s="8">
        <v>36</v>
      </c>
      <c r="T10" s="10">
        <f>S10*'Dealer Profile'!$F$5</f>
        <v>648</v>
      </c>
      <c r="U10" s="10">
        <f t="shared" si="0"/>
        <v>2348</v>
      </c>
      <c r="V10" s="9">
        <v>28000</v>
      </c>
      <c r="W10" s="9">
        <v>27200</v>
      </c>
      <c r="X10" s="9">
        <v>28800</v>
      </c>
      <c r="Y10" s="11">
        <f t="shared" si="1"/>
        <v>4152</v>
      </c>
      <c r="Z10" s="11">
        <f>V10-U10-'Dealer Profile'!$F$6</f>
        <v>21652</v>
      </c>
      <c r="AA10" s="12">
        <f t="shared" si="2"/>
        <v>152</v>
      </c>
      <c r="AB10" s="6" t="s">
        <v>107</v>
      </c>
      <c r="AC10" s="13">
        <v>0.86</v>
      </c>
      <c r="AD10" s="13">
        <v>0.03</v>
      </c>
      <c r="AE10" s="7" t="s">
        <v>142</v>
      </c>
      <c r="AF10" s="15" t="s">
        <v>143</v>
      </c>
      <c r="AG10" s="7" t="s">
        <v>144</v>
      </c>
    </row>
    <row r="11" spans="1:33" ht="25" x14ac:dyDescent="0.35">
      <c r="A11" s="6">
        <v>8</v>
      </c>
      <c r="B11" s="7" t="s">
        <v>145</v>
      </c>
      <c r="C11" s="8">
        <v>2021</v>
      </c>
      <c r="D11" s="6" t="s">
        <v>117</v>
      </c>
      <c r="E11" s="6" t="s">
        <v>146</v>
      </c>
      <c r="F11" s="6" t="s">
        <v>119</v>
      </c>
      <c r="G11" s="7" t="s">
        <v>56</v>
      </c>
      <c r="H11" s="8">
        <v>67000</v>
      </c>
      <c r="I11" s="7" t="s">
        <v>104</v>
      </c>
      <c r="J11" s="7" t="s">
        <v>105</v>
      </c>
      <c r="K11" s="8">
        <v>3.6</v>
      </c>
      <c r="L11" s="7" t="s">
        <v>114</v>
      </c>
      <c r="M11" s="8">
        <v>20</v>
      </c>
      <c r="N11" s="9">
        <v>20000</v>
      </c>
      <c r="O11" s="9">
        <v>3000</v>
      </c>
      <c r="P11" s="9">
        <v>500</v>
      </c>
      <c r="Q11" s="9">
        <v>400</v>
      </c>
      <c r="R11" s="9">
        <v>100</v>
      </c>
      <c r="S11" s="8">
        <v>44</v>
      </c>
      <c r="T11" s="10">
        <f>S11*'Dealer Profile'!$F$5</f>
        <v>792</v>
      </c>
      <c r="U11" s="10">
        <f t="shared" si="0"/>
        <v>4792</v>
      </c>
      <c r="V11" s="9">
        <v>28500</v>
      </c>
      <c r="W11" s="9">
        <v>26500</v>
      </c>
      <c r="X11" s="9">
        <v>30000</v>
      </c>
      <c r="Y11" s="11">
        <f t="shared" si="1"/>
        <v>3708</v>
      </c>
      <c r="Z11" s="11">
        <f>V11-U11-'Dealer Profile'!$F$6</f>
        <v>19708</v>
      </c>
      <c r="AA11" s="12">
        <f t="shared" si="2"/>
        <v>-292</v>
      </c>
      <c r="AB11" s="6" t="s">
        <v>130</v>
      </c>
      <c r="AC11" s="13">
        <v>0.62</v>
      </c>
      <c r="AD11" s="13">
        <v>0.22</v>
      </c>
      <c r="AE11" s="7" t="s">
        <v>65</v>
      </c>
      <c r="AF11" s="16" t="s">
        <v>132</v>
      </c>
      <c r="AG11" s="7" t="s">
        <v>147</v>
      </c>
    </row>
    <row r="12" spans="1:33" ht="25" x14ac:dyDescent="0.35">
      <c r="A12" s="6">
        <v>9</v>
      </c>
      <c r="B12" s="7" t="s">
        <v>148</v>
      </c>
      <c r="C12" s="8">
        <v>2021</v>
      </c>
      <c r="D12" s="6" t="s">
        <v>149</v>
      </c>
      <c r="E12" s="6" t="s">
        <v>150</v>
      </c>
      <c r="F12" s="6" t="s">
        <v>151</v>
      </c>
      <c r="G12" s="7" t="s">
        <v>56</v>
      </c>
      <c r="H12" s="8">
        <v>39000</v>
      </c>
      <c r="I12" s="7" t="s">
        <v>104</v>
      </c>
      <c r="J12" s="7" t="s">
        <v>105</v>
      </c>
      <c r="K12" s="8">
        <v>4.2</v>
      </c>
      <c r="L12" s="7" t="s">
        <v>106</v>
      </c>
      <c r="M12" s="8">
        <v>15</v>
      </c>
      <c r="N12" s="9">
        <v>25500</v>
      </c>
      <c r="O12" s="9">
        <v>900</v>
      </c>
      <c r="P12" s="9">
        <v>500</v>
      </c>
      <c r="Q12" s="9">
        <v>400</v>
      </c>
      <c r="R12" s="9">
        <v>100</v>
      </c>
      <c r="S12" s="8">
        <v>39</v>
      </c>
      <c r="T12" s="10">
        <f>S12*'Dealer Profile'!$F$5</f>
        <v>702</v>
      </c>
      <c r="U12" s="10">
        <f t="shared" si="0"/>
        <v>2602</v>
      </c>
      <c r="V12" s="9">
        <v>32000</v>
      </c>
      <c r="W12" s="9">
        <v>31000</v>
      </c>
      <c r="X12" s="9">
        <v>33200</v>
      </c>
      <c r="Y12" s="11">
        <f t="shared" si="1"/>
        <v>3898</v>
      </c>
      <c r="Z12" s="11">
        <f>V12-U12-'Dealer Profile'!$F$6</f>
        <v>25398</v>
      </c>
      <c r="AA12" s="12">
        <f t="shared" si="2"/>
        <v>-102</v>
      </c>
      <c r="AB12" s="6" t="s">
        <v>107</v>
      </c>
      <c r="AC12" s="13">
        <v>0.82</v>
      </c>
      <c r="AD12" s="13">
        <v>0.04</v>
      </c>
      <c r="AE12" s="7" t="s">
        <v>152</v>
      </c>
      <c r="AF12" s="14" t="s">
        <v>109</v>
      </c>
      <c r="AG12" s="7" t="s">
        <v>153</v>
      </c>
    </row>
    <row r="13" spans="1:33" ht="25" x14ac:dyDescent="0.35">
      <c r="A13" s="6">
        <v>10</v>
      </c>
      <c r="B13" s="7" t="s">
        <v>154</v>
      </c>
      <c r="C13" s="8">
        <v>2023</v>
      </c>
      <c r="D13" s="6" t="s">
        <v>155</v>
      </c>
      <c r="E13" s="6" t="s">
        <v>156</v>
      </c>
      <c r="F13" s="6" t="s">
        <v>157</v>
      </c>
      <c r="G13" s="7" t="s">
        <v>60</v>
      </c>
      <c r="H13" s="8">
        <v>21000</v>
      </c>
      <c r="I13" s="7" t="s">
        <v>104</v>
      </c>
      <c r="J13" s="7" t="s">
        <v>105</v>
      </c>
      <c r="K13" s="8">
        <v>4.5</v>
      </c>
      <c r="L13" s="7" t="s">
        <v>114</v>
      </c>
      <c r="M13" s="8">
        <v>20</v>
      </c>
      <c r="N13" s="9">
        <v>18500</v>
      </c>
      <c r="O13" s="9">
        <v>500</v>
      </c>
      <c r="P13" s="9">
        <v>500</v>
      </c>
      <c r="Q13" s="9">
        <v>400</v>
      </c>
      <c r="R13" s="9">
        <v>100</v>
      </c>
      <c r="S13" s="8">
        <v>67</v>
      </c>
      <c r="T13" s="10">
        <f>S13*'Dealer Profile'!$F$5</f>
        <v>1206</v>
      </c>
      <c r="U13" s="10">
        <f t="shared" si="0"/>
        <v>2706</v>
      </c>
      <c r="V13" s="9">
        <v>23000</v>
      </c>
      <c r="W13" s="9">
        <v>22200</v>
      </c>
      <c r="X13" s="9">
        <v>23600</v>
      </c>
      <c r="Y13" s="11">
        <f t="shared" si="1"/>
        <v>1794</v>
      </c>
      <c r="Z13" s="11">
        <f>V13-U13-'Dealer Profile'!$F$6</f>
        <v>16294</v>
      </c>
      <c r="AA13" s="12">
        <f t="shared" si="2"/>
        <v>-2206</v>
      </c>
      <c r="AB13" s="6" t="s">
        <v>130</v>
      </c>
      <c r="AC13" s="13">
        <v>0.48</v>
      </c>
      <c r="AD13" s="13">
        <v>7.0000000000000007E-2</v>
      </c>
      <c r="AE13" s="7" t="s">
        <v>158</v>
      </c>
      <c r="AF13" s="16" t="s">
        <v>132</v>
      </c>
      <c r="AG13" s="7" t="s">
        <v>159</v>
      </c>
    </row>
    <row r="14" spans="1:33" ht="25" x14ac:dyDescent="0.35">
      <c r="A14" s="6">
        <v>11</v>
      </c>
      <c r="B14" s="7" t="s">
        <v>160</v>
      </c>
      <c r="C14" s="8">
        <v>2021</v>
      </c>
      <c r="D14" s="6" t="s">
        <v>161</v>
      </c>
      <c r="E14" s="6" t="s">
        <v>162</v>
      </c>
      <c r="F14" s="6" t="s">
        <v>163</v>
      </c>
      <c r="G14" s="7" t="s">
        <v>62</v>
      </c>
      <c r="H14" s="8">
        <v>45000</v>
      </c>
      <c r="I14" s="7" t="s">
        <v>104</v>
      </c>
      <c r="J14" s="7" t="s">
        <v>105</v>
      </c>
      <c r="K14" s="8">
        <v>4.5</v>
      </c>
      <c r="L14" s="7" t="s">
        <v>106</v>
      </c>
      <c r="M14" s="8">
        <v>15</v>
      </c>
      <c r="N14" s="9">
        <v>32000</v>
      </c>
      <c r="O14" s="9">
        <v>900</v>
      </c>
      <c r="P14" s="9">
        <v>500</v>
      </c>
      <c r="Q14" s="9">
        <v>400</v>
      </c>
      <c r="R14" s="9">
        <v>100</v>
      </c>
      <c r="S14" s="8">
        <v>48</v>
      </c>
      <c r="T14" s="10">
        <f>S14*'Dealer Profile'!$F$5</f>
        <v>864</v>
      </c>
      <c r="U14" s="10">
        <f t="shared" si="0"/>
        <v>2764</v>
      </c>
      <c r="V14" s="9">
        <v>40000</v>
      </c>
      <c r="W14" s="9">
        <v>38800</v>
      </c>
      <c r="X14" s="9">
        <v>41400</v>
      </c>
      <c r="Y14" s="11">
        <f t="shared" si="1"/>
        <v>5236</v>
      </c>
      <c r="Z14" s="11">
        <f>V14-U14-'Dealer Profile'!$F$6</f>
        <v>33236</v>
      </c>
      <c r="AA14" s="12">
        <f t="shared" si="2"/>
        <v>1236</v>
      </c>
      <c r="AB14" s="6" t="s">
        <v>107</v>
      </c>
      <c r="AC14" s="13">
        <v>0.68</v>
      </c>
      <c r="AD14" s="13">
        <v>0.05</v>
      </c>
      <c r="AE14" s="7" t="s">
        <v>164</v>
      </c>
      <c r="AF14" s="14" t="s">
        <v>109</v>
      </c>
      <c r="AG14" s="7" t="s">
        <v>165</v>
      </c>
    </row>
    <row r="15" spans="1:33" ht="25" x14ac:dyDescent="0.35">
      <c r="A15" s="6">
        <v>12</v>
      </c>
      <c r="B15" s="7" t="s">
        <v>166</v>
      </c>
      <c r="C15" s="8">
        <v>2019</v>
      </c>
      <c r="D15" s="6" t="s">
        <v>101</v>
      </c>
      <c r="E15" s="6" t="s">
        <v>167</v>
      </c>
      <c r="F15" s="6" t="s">
        <v>151</v>
      </c>
      <c r="G15" s="7" t="s">
        <v>60</v>
      </c>
      <c r="H15" s="8">
        <v>91000</v>
      </c>
      <c r="I15" s="7" t="s">
        <v>104</v>
      </c>
      <c r="J15" s="7" t="s">
        <v>105</v>
      </c>
      <c r="K15" s="8">
        <v>3.9</v>
      </c>
      <c r="L15" s="7" t="s">
        <v>114</v>
      </c>
      <c r="M15" s="8">
        <v>20</v>
      </c>
      <c r="N15" s="9">
        <v>15000</v>
      </c>
      <c r="O15" s="9">
        <v>700</v>
      </c>
      <c r="P15" s="9">
        <v>500</v>
      </c>
      <c r="Q15" s="9">
        <v>400</v>
      </c>
      <c r="R15" s="9">
        <v>100</v>
      </c>
      <c r="S15" s="8">
        <v>43</v>
      </c>
      <c r="T15" s="10">
        <f>S15*'Dealer Profile'!$F$5</f>
        <v>774</v>
      </c>
      <c r="U15" s="10">
        <f t="shared" si="0"/>
        <v>2474</v>
      </c>
      <c r="V15" s="9">
        <v>21000</v>
      </c>
      <c r="W15" s="9">
        <v>20200</v>
      </c>
      <c r="X15" s="9">
        <v>21600</v>
      </c>
      <c r="Y15" s="11">
        <f t="shared" si="1"/>
        <v>3526</v>
      </c>
      <c r="Z15" s="11">
        <f>V15-U15-'Dealer Profile'!$F$6</f>
        <v>14526</v>
      </c>
      <c r="AA15" s="12">
        <f t="shared" si="2"/>
        <v>-474</v>
      </c>
      <c r="AB15" s="6" t="s">
        <v>130</v>
      </c>
      <c r="AC15" s="13">
        <v>0.76</v>
      </c>
      <c r="AD15" s="13">
        <v>0.06</v>
      </c>
      <c r="AE15" s="7" t="s">
        <v>168</v>
      </c>
      <c r="AF15" s="15" t="s">
        <v>143</v>
      </c>
      <c r="AG15" s="7" t="s">
        <v>169</v>
      </c>
    </row>
    <row r="16" spans="1:33" ht="25" x14ac:dyDescent="0.35">
      <c r="A16" s="6">
        <v>13</v>
      </c>
      <c r="B16" s="7" t="s">
        <v>170</v>
      </c>
      <c r="C16" s="8">
        <v>2022</v>
      </c>
      <c r="D16" s="6" t="s">
        <v>171</v>
      </c>
      <c r="E16" s="6" t="s">
        <v>172</v>
      </c>
      <c r="F16" s="6" t="s">
        <v>173</v>
      </c>
      <c r="G16" s="7" t="s">
        <v>54</v>
      </c>
      <c r="H16" s="8">
        <v>44000</v>
      </c>
      <c r="I16" s="7" t="s">
        <v>104</v>
      </c>
      <c r="J16" s="7" t="s">
        <v>174</v>
      </c>
      <c r="K16" s="8">
        <v>4</v>
      </c>
      <c r="L16" s="7" t="s">
        <v>106</v>
      </c>
      <c r="M16" s="8">
        <v>15</v>
      </c>
      <c r="N16" s="9">
        <v>17000</v>
      </c>
      <c r="O16" s="9">
        <v>800</v>
      </c>
      <c r="P16" s="9">
        <v>500</v>
      </c>
      <c r="Q16" s="9">
        <v>400</v>
      </c>
      <c r="R16" s="9">
        <v>100</v>
      </c>
      <c r="S16" s="8">
        <v>39</v>
      </c>
      <c r="T16" s="10">
        <f>S16*'Dealer Profile'!$F$5</f>
        <v>702</v>
      </c>
      <c r="U16" s="10">
        <f t="shared" si="0"/>
        <v>2502</v>
      </c>
      <c r="V16" s="9">
        <v>25500</v>
      </c>
      <c r="W16" s="9">
        <v>24500</v>
      </c>
      <c r="X16" s="9">
        <v>26400</v>
      </c>
      <c r="Y16" s="11">
        <f t="shared" si="1"/>
        <v>5998</v>
      </c>
      <c r="Z16" s="11">
        <f>V16-U16-'Dealer Profile'!$F$6</f>
        <v>18998</v>
      </c>
      <c r="AA16" s="12">
        <f t="shared" si="2"/>
        <v>1998</v>
      </c>
      <c r="AB16" s="6" t="s">
        <v>107</v>
      </c>
      <c r="AC16" s="13">
        <v>0.84</v>
      </c>
      <c r="AD16" s="13">
        <v>0.12</v>
      </c>
      <c r="AE16" s="7" t="s">
        <v>175</v>
      </c>
      <c r="AF16" s="16" t="s">
        <v>132</v>
      </c>
      <c r="AG16" s="7" t="s">
        <v>176</v>
      </c>
    </row>
    <row r="17" spans="1:33" ht="25" x14ac:dyDescent="0.35">
      <c r="A17" s="6">
        <v>14</v>
      </c>
      <c r="B17" s="7" t="s">
        <v>177</v>
      </c>
      <c r="C17" s="8">
        <v>2020</v>
      </c>
      <c r="D17" s="6" t="s">
        <v>178</v>
      </c>
      <c r="E17" s="6" t="s">
        <v>179</v>
      </c>
      <c r="F17" s="6" t="s">
        <v>180</v>
      </c>
      <c r="G17" s="7" t="s">
        <v>58</v>
      </c>
      <c r="H17" s="8">
        <v>78000</v>
      </c>
      <c r="I17" s="7" t="s">
        <v>104</v>
      </c>
      <c r="J17" s="7" t="s">
        <v>105</v>
      </c>
      <c r="K17" s="8">
        <v>4</v>
      </c>
      <c r="L17" s="7" t="s">
        <v>106</v>
      </c>
      <c r="M17" s="8">
        <v>15</v>
      </c>
      <c r="N17" s="9">
        <v>21000</v>
      </c>
      <c r="O17" s="9">
        <v>2500</v>
      </c>
      <c r="P17" s="9">
        <v>500</v>
      </c>
      <c r="Q17" s="9">
        <v>400</v>
      </c>
      <c r="R17" s="9">
        <v>100</v>
      </c>
      <c r="S17" s="8">
        <v>45</v>
      </c>
      <c r="T17" s="10">
        <f>S17*'Dealer Profile'!$F$5</f>
        <v>810</v>
      </c>
      <c r="U17" s="10">
        <f t="shared" si="0"/>
        <v>4310</v>
      </c>
      <c r="V17" s="9">
        <v>31000</v>
      </c>
      <c r="W17" s="9">
        <v>29800</v>
      </c>
      <c r="X17" s="9">
        <v>32200</v>
      </c>
      <c r="Y17" s="11">
        <f t="shared" si="1"/>
        <v>5690</v>
      </c>
      <c r="Z17" s="11">
        <f>V17-U17-'Dealer Profile'!$F$6</f>
        <v>22690</v>
      </c>
      <c r="AA17" s="12">
        <f t="shared" si="2"/>
        <v>1690</v>
      </c>
      <c r="AB17" s="6" t="s">
        <v>130</v>
      </c>
      <c r="AC17" s="13">
        <v>0.74</v>
      </c>
      <c r="AD17" s="13">
        <v>0.08</v>
      </c>
      <c r="AE17" s="7" t="s">
        <v>181</v>
      </c>
      <c r="AF17" s="15" t="s">
        <v>143</v>
      </c>
      <c r="AG17" s="7" t="s">
        <v>182</v>
      </c>
    </row>
    <row r="18" spans="1:33" ht="25" x14ac:dyDescent="0.35">
      <c r="A18" s="6">
        <v>15</v>
      </c>
      <c r="B18" s="7" t="s">
        <v>183</v>
      </c>
      <c r="C18" s="8">
        <v>2022</v>
      </c>
      <c r="D18" s="6" t="s">
        <v>184</v>
      </c>
      <c r="E18" s="6" t="s">
        <v>185</v>
      </c>
      <c r="F18" s="6" t="s">
        <v>163</v>
      </c>
      <c r="G18" s="7" t="s">
        <v>62</v>
      </c>
      <c r="H18" s="8">
        <v>40000</v>
      </c>
      <c r="I18" s="7" t="s">
        <v>104</v>
      </c>
      <c r="J18" s="7" t="s">
        <v>105</v>
      </c>
      <c r="K18" s="8">
        <v>4.5999999999999996</v>
      </c>
      <c r="L18" s="7" t="s">
        <v>114</v>
      </c>
      <c r="M18" s="8">
        <v>20</v>
      </c>
      <c r="N18" s="9">
        <v>62000</v>
      </c>
      <c r="O18" s="9">
        <v>1200</v>
      </c>
      <c r="P18" s="9">
        <v>500</v>
      </c>
      <c r="Q18" s="9">
        <v>400</v>
      </c>
      <c r="R18" s="9">
        <v>100</v>
      </c>
      <c r="S18" s="8">
        <v>44</v>
      </c>
      <c r="T18" s="10">
        <f>S18*'Dealer Profile'!$F$5</f>
        <v>792</v>
      </c>
      <c r="U18" s="10">
        <f t="shared" si="0"/>
        <v>2992</v>
      </c>
      <c r="V18" s="9">
        <v>69000</v>
      </c>
      <c r="W18" s="9">
        <v>66500</v>
      </c>
      <c r="X18" s="9">
        <v>71500</v>
      </c>
      <c r="Y18" s="11">
        <f t="shared" si="1"/>
        <v>4008</v>
      </c>
      <c r="Z18" s="11">
        <f>V18-U18-'Dealer Profile'!$F$6</f>
        <v>62008</v>
      </c>
      <c r="AA18" s="12">
        <f t="shared" si="2"/>
        <v>8</v>
      </c>
      <c r="AB18" s="6" t="s">
        <v>130</v>
      </c>
      <c r="AC18" s="13">
        <v>0.77</v>
      </c>
      <c r="AD18" s="13">
        <v>0.05</v>
      </c>
      <c r="AE18" s="7" t="s">
        <v>186</v>
      </c>
      <c r="AF18" s="15" t="s">
        <v>125</v>
      </c>
      <c r="AG18" s="7" t="s">
        <v>187</v>
      </c>
    </row>
    <row r="19" spans="1:33" ht="25" x14ac:dyDescent="0.35">
      <c r="A19" s="6">
        <v>16</v>
      </c>
      <c r="B19" s="7" t="s">
        <v>188</v>
      </c>
      <c r="C19" s="8">
        <v>2021</v>
      </c>
      <c r="D19" s="6" t="s">
        <v>189</v>
      </c>
      <c r="E19" s="6" t="s">
        <v>190</v>
      </c>
      <c r="F19" s="6" t="s">
        <v>191</v>
      </c>
      <c r="G19" s="7" t="s">
        <v>60</v>
      </c>
      <c r="H19" s="8">
        <v>48000</v>
      </c>
      <c r="I19" s="7" t="s">
        <v>104</v>
      </c>
      <c r="J19" s="7" t="s">
        <v>105</v>
      </c>
      <c r="K19" s="8">
        <v>4.0999999999999996</v>
      </c>
      <c r="L19" s="7" t="s">
        <v>106</v>
      </c>
      <c r="M19" s="8">
        <v>15</v>
      </c>
      <c r="N19" s="9">
        <v>12000</v>
      </c>
      <c r="O19" s="9">
        <v>600</v>
      </c>
      <c r="P19" s="9">
        <v>500</v>
      </c>
      <c r="Q19" s="9">
        <v>400</v>
      </c>
      <c r="R19" s="9">
        <v>100</v>
      </c>
      <c r="S19" s="8">
        <v>58</v>
      </c>
      <c r="T19" s="10">
        <f>S19*'Dealer Profile'!$F$5</f>
        <v>1044</v>
      </c>
      <c r="U19" s="10">
        <f t="shared" si="0"/>
        <v>2644</v>
      </c>
      <c r="V19" s="9">
        <v>18500</v>
      </c>
      <c r="W19" s="9">
        <v>17600</v>
      </c>
      <c r="X19" s="9">
        <v>19100</v>
      </c>
      <c r="Y19" s="11">
        <f t="shared" si="1"/>
        <v>3856</v>
      </c>
      <c r="Z19" s="11">
        <f>V19-U19-'Dealer Profile'!$F$6</f>
        <v>11856</v>
      </c>
      <c r="AA19" s="12">
        <f t="shared" si="2"/>
        <v>-144</v>
      </c>
      <c r="AB19" s="6" t="s">
        <v>130</v>
      </c>
      <c r="AC19" s="13">
        <v>0.62</v>
      </c>
      <c r="AD19" s="13">
        <v>7.0000000000000007E-2</v>
      </c>
      <c r="AE19" s="7" t="s">
        <v>137</v>
      </c>
      <c r="AF19" s="15" t="s">
        <v>143</v>
      </c>
      <c r="AG19" s="7" t="s">
        <v>192</v>
      </c>
    </row>
    <row r="20" spans="1:33" x14ac:dyDescent="0.35">
      <c r="A20" s="6">
        <v>17</v>
      </c>
      <c r="B20" s="7" t="s">
        <v>193</v>
      </c>
      <c r="C20" s="8">
        <v>2022</v>
      </c>
      <c r="D20" s="6" t="s">
        <v>101</v>
      </c>
      <c r="E20" s="6" t="s">
        <v>194</v>
      </c>
      <c r="F20" s="6" t="s">
        <v>191</v>
      </c>
      <c r="G20" s="7" t="s">
        <v>60</v>
      </c>
      <c r="H20" s="8">
        <v>27000</v>
      </c>
      <c r="I20" s="7" t="s">
        <v>104</v>
      </c>
      <c r="J20" s="7" t="s">
        <v>105</v>
      </c>
      <c r="K20" s="8">
        <v>4.4000000000000004</v>
      </c>
      <c r="L20" s="7" t="s">
        <v>114</v>
      </c>
      <c r="M20" s="8">
        <v>20</v>
      </c>
      <c r="N20" s="9">
        <v>19500</v>
      </c>
      <c r="O20" s="9">
        <v>400</v>
      </c>
      <c r="P20" s="9">
        <v>500</v>
      </c>
      <c r="Q20" s="9">
        <v>400</v>
      </c>
      <c r="R20" s="9">
        <v>100</v>
      </c>
      <c r="S20" s="8">
        <v>25</v>
      </c>
      <c r="T20" s="10">
        <f>S20*'Dealer Profile'!$F$5</f>
        <v>450</v>
      </c>
      <c r="U20" s="10">
        <f t="shared" si="0"/>
        <v>1850</v>
      </c>
      <c r="V20" s="9">
        <v>22800</v>
      </c>
      <c r="W20" s="9">
        <v>22200</v>
      </c>
      <c r="X20" s="9">
        <v>23300</v>
      </c>
      <c r="Y20" s="11">
        <f t="shared" si="1"/>
        <v>1450</v>
      </c>
      <c r="Z20" s="11">
        <f>V20-U20-'Dealer Profile'!$F$6</f>
        <v>16950</v>
      </c>
      <c r="AA20" s="12">
        <f t="shared" si="2"/>
        <v>-2550</v>
      </c>
      <c r="AB20" s="6" t="s">
        <v>107</v>
      </c>
      <c r="AC20" s="13">
        <v>0.92</v>
      </c>
      <c r="AD20" s="13">
        <v>0.02</v>
      </c>
      <c r="AE20" s="7" t="s">
        <v>137</v>
      </c>
      <c r="AF20" s="16" t="s">
        <v>132</v>
      </c>
      <c r="AG20" s="7" t="s">
        <v>195</v>
      </c>
    </row>
    <row r="21" spans="1:33" ht="25" x14ac:dyDescent="0.35">
      <c r="A21" s="6">
        <v>18</v>
      </c>
      <c r="B21" s="7" t="s">
        <v>196</v>
      </c>
      <c r="C21" s="8">
        <v>2021</v>
      </c>
      <c r="D21" s="6" t="s">
        <v>111</v>
      </c>
      <c r="E21" s="6" t="s">
        <v>123</v>
      </c>
      <c r="F21" s="6" t="s">
        <v>136</v>
      </c>
      <c r="G21" s="7" t="s">
        <v>56</v>
      </c>
      <c r="H21" s="8">
        <v>40000</v>
      </c>
      <c r="I21" s="7" t="s">
        <v>104</v>
      </c>
      <c r="J21" s="7" t="s">
        <v>105</v>
      </c>
      <c r="K21" s="8">
        <v>4.3</v>
      </c>
      <c r="L21" s="7" t="s">
        <v>106</v>
      </c>
      <c r="M21" s="8">
        <v>15</v>
      </c>
      <c r="N21" s="9">
        <v>30000</v>
      </c>
      <c r="O21" s="9">
        <v>900</v>
      </c>
      <c r="P21" s="9">
        <v>500</v>
      </c>
      <c r="Q21" s="9">
        <v>400</v>
      </c>
      <c r="R21" s="9">
        <v>100</v>
      </c>
      <c r="S21" s="8">
        <v>37</v>
      </c>
      <c r="T21" s="10">
        <f>S21*'Dealer Profile'!$F$5</f>
        <v>666</v>
      </c>
      <c r="U21" s="10">
        <f t="shared" si="0"/>
        <v>2566</v>
      </c>
      <c r="V21" s="9">
        <v>36000</v>
      </c>
      <c r="W21" s="9">
        <v>34900</v>
      </c>
      <c r="X21" s="9">
        <v>37200</v>
      </c>
      <c r="Y21" s="11">
        <f t="shared" si="1"/>
        <v>3434</v>
      </c>
      <c r="Z21" s="11">
        <f>V21-U21-'Dealer Profile'!$F$6</f>
        <v>29434</v>
      </c>
      <c r="AA21" s="12">
        <f t="shared" si="2"/>
        <v>-566</v>
      </c>
      <c r="AB21" s="6" t="s">
        <v>107</v>
      </c>
      <c r="AC21" s="13">
        <v>0.85</v>
      </c>
      <c r="AD21" s="13">
        <v>0.03</v>
      </c>
      <c r="AE21" s="7" t="s">
        <v>197</v>
      </c>
      <c r="AF21" s="16" t="s">
        <v>132</v>
      </c>
      <c r="AG21" s="7" t="s">
        <v>198</v>
      </c>
    </row>
    <row r="22" spans="1:33" ht="25" x14ac:dyDescent="0.35">
      <c r="A22" s="6">
        <v>19</v>
      </c>
      <c r="B22" s="7" t="s">
        <v>199</v>
      </c>
      <c r="C22" s="8">
        <v>2022</v>
      </c>
      <c r="D22" s="6" t="s">
        <v>200</v>
      </c>
      <c r="E22" s="6" t="s">
        <v>201</v>
      </c>
      <c r="F22" s="6" t="s">
        <v>202</v>
      </c>
      <c r="G22" s="7" t="s">
        <v>203</v>
      </c>
      <c r="H22" s="8">
        <v>30000</v>
      </c>
      <c r="I22" s="7" t="s">
        <v>104</v>
      </c>
      <c r="J22" s="7" t="s">
        <v>105</v>
      </c>
      <c r="K22" s="8">
        <v>4.3</v>
      </c>
      <c r="L22" s="7" t="s">
        <v>204</v>
      </c>
      <c r="M22" s="8">
        <v>0</v>
      </c>
      <c r="N22" s="9">
        <v>27000</v>
      </c>
      <c r="O22" s="9">
        <v>700</v>
      </c>
      <c r="P22" s="9">
        <v>500</v>
      </c>
      <c r="Q22" s="9">
        <v>600</v>
      </c>
      <c r="R22" s="9">
        <v>100</v>
      </c>
      <c r="S22" s="8">
        <v>55</v>
      </c>
      <c r="T22" s="10">
        <f>S22*'Dealer Profile'!$F$5</f>
        <v>990</v>
      </c>
      <c r="U22" s="10">
        <f t="shared" si="0"/>
        <v>2890</v>
      </c>
      <c r="V22" s="9">
        <v>32000</v>
      </c>
      <c r="W22" s="9">
        <v>28500</v>
      </c>
      <c r="X22" s="9">
        <v>35500</v>
      </c>
      <c r="Y22" s="11">
        <f t="shared" si="1"/>
        <v>2110</v>
      </c>
      <c r="Z22" s="11">
        <f>V22-U22-'Dealer Profile'!$F$6</f>
        <v>25110</v>
      </c>
      <c r="AA22" s="12">
        <f t="shared" si="2"/>
        <v>-1890</v>
      </c>
      <c r="AB22" s="6" t="s">
        <v>205</v>
      </c>
      <c r="AC22" s="13">
        <v>0.55000000000000004</v>
      </c>
      <c r="AD22" s="13">
        <v>0.15</v>
      </c>
      <c r="AE22" s="7" t="s">
        <v>206</v>
      </c>
      <c r="AF22" s="15" t="s">
        <v>207</v>
      </c>
      <c r="AG22" s="7" t="s">
        <v>208</v>
      </c>
    </row>
    <row r="23" spans="1:33" ht="25" x14ac:dyDescent="0.35">
      <c r="A23" s="6">
        <v>20</v>
      </c>
      <c r="B23" s="7" t="s">
        <v>209</v>
      </c>
      <c r="C23" s="8">
        <v>2022</v>
      </c>
      <c r="D23" s="6" t="s">
        <v>210</v>
      </c>
      <c r="E23" s="6" t="s">
        <v>211</v>
      </c>
      <c r="F23" s="6" t="s">
        <v>212</v>
      </c>
      <c r="G23" s="7" t="s">
        <v>54</v>
      </c>
      <c r="H23" s="8">
        <v>33000</v>
      </c>
      <c r="I23" s="7" t="s">
        <v>104</v>
      </c>
      <c r="J23" s="7" t="s">
        <v>105</v>
      </c>
      <c r="K23" s="8">
        <v>4.5</v>
      </c>
      <c r="L23" s="7" t="s">
        <v>106</v>
      </c>
      <c r="M23" s="8">
        <v>15</v>
      </c>
      <c r="N23" s="9">
        <v>21000</v>
      </c>
      <c r="O23" s="9">
        <v>600</v>
      </c>
      <c r="P23" s="9">
        <v>500</v>
      </c>
      <c r="Q23" s="9">
        <v>400</v>
      </c>
      <c r="R23" s="9">
        <v>100</v>
      </c>
      <c r="S23" s="8">
        <v>33</v>
      </c>
      <c r="T23" s="10">
        <f>S23*'Dealer Profile'!$F$5</f>
        <v>594</v>
      </c>
      <c r="U23" s="10">
        <f t="shared" si="0"/>
        <v>2194</v>
      </c>
      <c r="V23" s="9">
        <v>27500</v>
      </c>
      <c r="W23" s="9">
        <v>26700</v>
      </c>
      <c r="X23" s="9">
        <v>28300</v>
      </c>
      <c r="Y23" s="11">
        <f t="shared" si="1"/>
        <v>4306</v>
      </c>
      <c r="Z23" s="11">
        <f>V23-U23-'Dealer Profile'!$F$6</f>
        <v>21306</v>
      </c>
      <c r="AA23" s="12">
        <f t="shared" si="2"/>
        <v>306</v>
      </c>
      <c r="AB23" s="6" t="s">
        <v>107</v>
      </c>
      <c r="AC23" s="13">
        <v>0.9</v>
      </c>
      <c r="AD23" s="13">
        <v>0.02</v>
      </c>
      <c r="AE23" s="7" t="s">
        <v>213</v>
      </c>
      <c r="AF23" s="14" t="s">
        <v>109</v>
      </c>
      <c r="AG23" s="7" t="s">
        <v>214</v>
      </c>
    </row>
  </sheetData>
  <mergeCells count="2">
    <mergeCell ref="A1:J1"/>
    <mergeCell ref="A2:AG2"/>
  </mergeCells>
  <conditionalFormatting sqref="AF4:AF23">
    <cfRule type="containsText" dxfId="1" priority="4" operator="containsText" text="BUY">
      <formula>NOT(ISERROR(SEARCH("BUY",AF4)))</formula>
    </cfRule>
    <cfRule type="containsText" dxfId="2" priority="2" operator="containsText" text="pass">
      <formula>NOT(ISERROR(SEARCH("pass",AF4)))</formula>
    </cfRule>
    <cfRule type="containsText" dxfId="0" priority="1" operator="containsText" text="conditional">
      <formula>NOT(ISERROR(SEARCH("conditional",AF4)))</formula>
    </cfRule>
  </conditionalFormatting>
  <conditionalFormatting sqref="AF7">
    <cfRule type="containsText" dxfId="3" priority="3" operator="containsText" text="negotiate">
      <formula>NOT(ISERROR(SEARCH("negotiate",AF7)))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Normal="100" workbookViewId="0">
      <selection sqref="A1:B1"/>
    </sheetView>
  </sheetViews>
  <sheetFormatPr defaultColWidth="8.6328125" defaultRowHeight="14" x14ac:dyDescent="0.3"/>
  <cols>
    <col min="1" max="1" width="22" style="2" customWidth="1"/>
    <col min="2" max="2" width="104" style="2" customWidth="1"/>
    <col min="3" max="16384" width="8.6328125" style="2"/>
  </cols>
  <sheetData>
    <row r="1" spans="1:2" ht="17.5" x14ac:dyDescent="0.35">
      <c r="A1" s="1" t="s">
        <v>215</v>
      </c>
      <c r="B1" s="1"/>
    </row>
    <row r="3" spans="1:2" ht="54" customHeight="1" x14ac:dyDescent="0.3">
      <c r="A3" s="17" t="s">
        <v>216</v>
      </c>
      <c r="B3" s="4" t="s">
        <v>217</v>
      </c>
    </row>
    <row r="4" spans="1:2" ht="54" customHeight="1" x14ac:dyDescent="0.3">
      <c r="A4" s="17" t="s">
        <v>218</v>
      </c>
      <c r="B4" s="4" t="s">
        <v>219</v>
      </c>
    </row>
    <row r="5" spans="1:2" ht="54" customHeight="1" x14ac:dyDescent="0.3">
      <c r="A5" s="17" t="s">
        <v>109</v>
      </c>
      <c r="B5" s="4" t="s">
        <v>220</v>
      </c>
    </row>
    <row r="6" spans="1:2" ht="54" customHeight="1" x14ac:dyDescent="0.3">
      <c r="A6" s="17" t="s">
        <v>125</v>
      </c>
      <c r="B6" s="4" t="s">
        <v>221</v>
      </c>
    </row>
    <row r="7" spans="1:2" ht="54" customHeight="1" x14ac:dyDescent="0.3">
      <c r="A7" s="17" t="s">
        <v>132</v>
      </c>
      <c r="B7" s="4" t="s">
        <v>222</v>
      </c>
    </row>
    <row r="8" spans="1:2" ht="54" customHeight="1" x14ac:dyDescent="0.3">
      <c r="A8" s="17" t="s">
        <v>143</v>
      </c>
      <c r="B8" s="4" t="s">
        <v>223</v>
      </c>
    </row>
    <row r="9" spans="1:2" ht="54" customHeight="1" x14ac:dyDescent="0.3">
      <c r="A9" s="17" t="s">
        <v>207</v>
      </c>
      <c r="B9" s="4" t="s">
        <v>224</v>
      </c>
    </row>
    <row r="10" spans="1:2" ht="54" customHeight="1" x14ac:dyDescent="0.3">
      <c r="A10" s="17" t="s">
        <v>225</v>
      </c>
      <c r="B10" s="4" t="s">
        <v>226</v>
      </c>
    </row>
    <row r="11" spans="1:2" ht="54" customHeight="1" x14ac:dyDescent="0.3">
      <c r="A11" s="17" t="s">
        <v>227</v>
      </c>
      <c r="B11" s="4" t="s">
        <v>228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zoomScaleNormal="100" workbookViewId="0">
      <selection activeCell="C17" sqref="C17"/>
    </sheetView>
  </sheetViews>
  <sheetFormatPr defaultColWidth="8.6328125" defaultRowHeight="14" x14ac:dyDescent="0.3"/>
  <cols>
    <col min="1" max="1" width="26" style="2" customWidth="1"/>
    <col min="2" max="2" width="11" style="2" customWidth="1"/>
    <col min="3" max="4" width="16" style="2" customWidth="1"/>
    <col min="5" max="7" width="12" style="2" customWidth="1"/>
    <col min="8" max="8" width="13" style="2" customWidth="1"/>
    <col min="9" max="9" width="17" style="2" customWidth="1"/>
    <col min="10" max="10" width="11" style="2" customWidth="1"/>
    <col min="11" max="16384" width="8.6328125" style="2"/>
  </cols>
  <sheetData>
    <row r="1" spans="1:10" ht="17.5" x14ac:dyDescent="0.35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 t="s">
        <v>230</v>
      </c>
      <c r="B2" s="3"/>
      <c r="C2" s="3"/>
      <c r="D2" s="3"/>
      <c r="E2" s="3"/>
      <c r="F2" s="3"/>
      <c r="G2" s="3"/>
      <c r="H2" s="3"/>
      <c r="I2" s="3"/>
      <c r="J2" s="3"/>
    </row>
    <row r="4" spans="1:10" ht="25" x14ac:dyDescent="0.3">
      <c r="A4" s="5" t="s">
        <v>231</v>
      </c>
      <c r="B4" s="5" t="s">
        <v>232</v>
      </c>
      <c r="C4" s="5" t="s">
        <v>233</v>
      </c>
      <c r="D4" s="5" t="s">
        <v>234</v>
      </c>
      <c r="E4" s="5" t="s">
        <v>235</v>
      </c>
      <c r="F4" s="5" t="s">
        <v>236</v>
      </c>
      <c r="G4" s="5" t="s">
        <v>237</v>
      </c>
      <c r="H4" s="5" t="s">
        <v>238</v>
      </c>
      <c r="I4" s="5" t="s">
        <v>239</v>
      </c>
      <c r="J4" s="5" t="s">
        <v>240</v>
      </c>
    </row>
    <row r="5" spans="1:10" x14ac:dyDescent="0.3">
      <c r="A5" s="24" t="s">
        <v>241</v>
      </c>
      <c r="B5" s="7" t="s">
        <v>242</v>
      </c>
      <c r="C5" s="10">
        <v>29800</v>
      </c>
      <c r="D5" s="10">
        <v>29500</v>
      </c>
      <c r="E5" s="6">
        <v>38</v>
      </c>
      <c r="F5" s="6">
        <v>34</v>
      </c>
      <c r="G5" s="10">
        <v>900</v>
      </c>
      <c r="H5" s="10">
        <v>1050</v>
      </c>
      <c r="I5" s="10">
        <v>4650</v>
      </c>
      <c r="J5" s="6" t="s">
        <v>243</v>
      </c>
    </row>
    <row r="6" spans="1:10" x14ac:dyDescent="0.3">
      <c r="A6" s="24" t="s">
        <v>244</v>
      </c>
      <c r="B6" s="7" t="s">
        <v>245</v>
      </c>
      <c r="C6" s="10">
        <v>30500</v>
      </c>
      <c r="D6" s="10">
        <v>30200</v>
      </c>
      <c r="E6" s="6">
        <v>34</v>
      </c>
      <c r="F6" s="6">
        <v>31</v>
      </c>
      <c r="G6" s="10">
        <v>850</v>
      </c>
      <c r="H6" s="10">
        <v>800</v>
      </c>
      <c r="I6" s="10">
        <v>5150</v>
      </c>
      <c r="J6" s="6" t="s">
        <v>243</v>
      </c>
    </row>
    <row r="7" spans="1:10" x14ac:dyDescent="0.3">
      <c r="A7" s="24" t="s">
        <v>246</v>
      </c>
      <c r="B7" s="7" t="s">
        <v>247</v>
      </c>
      <c r="C7" s="10">
        <v>37200</v>
      </c>
      <c r="D7" s="10">
        <v>37500</v>
      </c>
      <c r="E7" s="6">
        <v>41</v>
      </c>
      <c r="F7" s="6">
        <v>44</v>
      </c>
      <c r="G7" s="10">
        <v>1800</v>
      </c>
      <c r="H7" s="10">
        <v>1650</v>
      </c>
      <c r="I7" s="10">
        <v>4900</v>
      </c>
      <c r="J7" s="6" t="s">
        <v>248</v>
      </c>
    </row>
    <row r="8" spans="1:10" x14ac:dyDescent="0.3">
      <c r="A8" s="24" t="s">
        <v>249</v>
      </c>
      <c r="B8" s="7" t="s">
        <v>250</v>
      </c>
      <c r="C8" s="10">
        <v>41500</v>
      </c>
      <c r="D8" s="10">
        <v>40100</v>
      </c>
      <c r="E8" s="6">
        <v>76</v>
      </c>
      <c r="F8" s="6">
        <v>71</v>
      </c>
      <c r="G8" s="10">
        <v>1400</v>
      </c>
      <c r="H8" s="10">
        <v>1900</v>
      </c>
      <c r="I8" s="10">
        <v>4200</v>
      </c>
      <c r="J8" s="6" t="s">
        <v>248</v>
      </c>
    </row>
    <row r="9" spans="1:10" x14ac:dyDescent="0.3">
      <c r="A9" s="24" t="s">
        <v>251</v>
      </c>
      <c r="B9" s="7" t="s">
        <v>252</v>
      </c>
      <c r="C9" s="10">
        <v>28000</v>
      </c>
      <c r="D9" s="10">
        <v>27800</v>
      </c>
      <c r="E9" s="6">
        <v>36</v>
      </c>
      <c r="F9" s="6">
        <v>33</v>
      </c>
      <c r="G9" s="10">
        <v>700</v>
      </c>
      <c r="H9" s="10">
        <v>720</v>
      </c>
      <c r="I9" s="10">
        <v>4380</v>
      </c>
      <c r="J9" s="6" t="s">
        <v>243</v>
      </c>
    </row>
    <row r="10" spans="1:10" x14ac:dyDescent="0.3">
      <c r="A10" s="24" t="s">
        <v>253</v>
      </c>
      <c r="B10" s="7" t="s">
        <v>254</v>
      </c>
      <c r="C10" s="10">
        <v>32000</v>
      </c>
      <c r="D10" s="10">
        <v>32600</v>
      </c>
      <c r="E10" s="6">
        <v>39</v>
      </c>
      <c r="F10" s="6">
        <v>29</v>
      </c>
      <c r="G10" s="10">
        <v>900</v>
      </c>
      <c r="H10" s="10">
        <v>850</v>
      </c>
      <c r="I10" s="10">
        <v>5100</v>
      </c>
      <c r="J10" s="6" t="s">
        <v>243</v>
      </c>
    </row>
    <row r="11" spans="1:10" x14ac:dyDescent="0.3">
      <c r="A11" s="24" t="s">
        <v>255</v>
      </c>
      <c r="B11" s="7" t="s">
        <v>256</v>
      </c>
      <c r="C11" s="10">
        <v>40000</v>
      </c>
      <c r="D11" s="10">
        <v>39600</v>
      </c>
      <c r="E11" s="6">
        <v>48</v>
      </c>
      <c r="F11" s="6">
        <v>52</v>
      </c>
      <c r="G11" s="10">
        <v>900</v>
      </c>
      <c r="H11" s="10">
        <v>1150</v>
      </c>
      <c r="I11" s="10">
        <v>4550</v>
      </c>
      <c r="J11" s="6" t="s">
        <v>248</v>
      </c>
    </row>
    <row r="12" spans="1:10" x14ac:dyDescent="0.3">
      <c r="A12" s="24" t="s">
        <v>257</v>
      </c>
      <c r="B12" s="7" t="s">
        <v>258</v>
      </c>
      <c r="C12" s="10">
        <v>27500</v>
      </c>
      <c r="D12" s="10">
        <v>27400</v>
      </c>
      <c r="E12" s="6">
        <v>33</v>
      </c>
      <c r="F12" s="6">
        <v>30</v>
      </c>
      <c r="G12" s="10">
        <v>600</v>
      </c>
      <c r="H12" s="10">
        <v>640</v>
      </c>
      <c r="I12" s="10">
        <v>4520</v>
      </c>
      <c r="J12" s="6" t="s">
        <v>243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Dealer Profile</vt:lpstr>
      <vt:lpstr>Segment Mix</vt:lpstr>
      <vt:lpstr>Candidate Vehicles</vt:lpstr>
      <vt:lpstr>Decision Logic</vt:lpstr>
      <vt:lpstr>Historical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Ujjwal Padha</cp:lastModifiedBy>
  <cp:revision>0</cp:revision>
  <dcterms:created xsi:type="dcterms:W3CDTF">2026-07-26T11:34:04Z</dcterms:created>
  <dcterms:modified xsi:type="dcterms:W3CDTF">2026-07-27T07:24:40Z</dcterms:modified>
  <dc:language>en-US</dc:language>
</cp:coreProperties>
</file>